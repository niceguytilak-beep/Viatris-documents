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l-my.sharepoint.com/personal/avijeet_kumar_viatris_com/Documents/Documents/KT/MIM/"/>
    </mc:Choice>
  </mc:AlternateContent>
  <xr:revisionPtr revIDLastSave="57" documentId="8_{77A6D9AA-086F-4372-A43A-AA01B7B4D2E4}" xr6:coauthVersionLast="47" xr6:coauthVersionMax="47" xr10:uidLastSave="{3AB6802F-76F4-4222-B1E5-57B957AE126D}"/>
  <bookViews>
    <workbookView xWindow="-110" yWindow="-110" windowWidth="19420" windowHeight="10300" xr2:uid="{6E48753F-DB5A-4AA3-A493-04D58546EA53}"/>
  </bookViews>
  <sheets>
    <sheet name="Priority Assessment" sheetId="10" r:id="rId1"/>
    <sheet name="Score" sheetId="5" r:id="rId2"/>
    <sheet name="Definition" sheetId="6" r:id="rId3"/>
    <sheet name="Sheet3" sheetId="4" state="hidden" r:id="rId4"/>
    <sheet name="Sheet1" sheetId="1" state="hidden" r:id="rId5"/>
  </sheets>
  <definedNames>
    <definedName name="_xlnm._FilterDatabase" localSheetId="4" hidden="1">#REF!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0" l="1"/>
  <c r="G18" i="10" s="1"/>
  <c r="F7" i="10"/>
  <c r="G7" i="10" s="1"/>
  <c r="F21" i="10"/>
  <c r="G21" i="10" s="1"/>
  <c r="F17" i="10"/>
  <c r="G17" i="10" s="1"/>
  <c r="F11" i="10"/>
  <c r="G11" i="10" s="1"/>
  <c r="F10" i="10"/>
  <c r="G10" i="10" s="1"/>
  <c r="F9" i="10"/>
  <c r="G9" i="10" s="1"/>
  <c r="F8" i="10"/>
  <c r="G8" i="10" s="1"/>
  <c r="F6" i="10"/>
  <c r="G6" i="10" s="1"/>
  <c r="F20" i="10"/>
  <c r="G20" i="10" s="1"/>
  <c r="F19" i="10"/>
  <c r="G19" i="10" s="1"/>
  <c r="F12" i="10"/>
  <c r="G12" i="10" s="1"/>
  <c r="G22" i="10" l="1"/>
  <c r="D22" i="10" s="1"/>
  <c r="G14" i="10"/>
  <c r="D14" i="10" s="1"/>
  <c r="C2" i="10" l="1"/>
  <c r="D2" i="10" s="1"/>
  <c r="G5" i="4" l="1"/>
  <c r="G8" i="4"/>
  <c r="G7" i="4"/>
  <c r="G6" i="4"/>
  <c r="D16" i="1" l="1"/>
  <c r="D15" i="1"/>
  <c r="D14" i="1"/>
  <c r="D9" i="1"/>
  <c r="D8" i="1"/>
  <c r="D7" i="1"/>
  <c r="D6" i="1"/>
  <c r="D5" i="1"/>
  <c r="D4" i="1"/>
  <c r="D3" i="1"/>
  <c r="H6" i="4"/>
  <c r="H8" i="4"/>
  <c r="E14" i="1"/>
  <c r="H7" i="4"/>
  <c r="D24" i="5"/>
  <c r="E9" i="1"/>
  <c r="E5" i="1"/>
  <c r="H5" i="4"/>
  <c r="E16" i="1"/>
  <c r="E8" i="1"/>
  <c r="E3" i="1"/>
  <c r="E10" i="1"/>
  <c r="E6" i="1"/>
  <c r="E7" i="1"/>
  <c r="E15" i="1"/>
  <c r="E4" i="1"/>
  <c r="H9" i="4"/>
  <c r="E9" i="4"/>
  <c r="E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tc={4CA6D47F-35E6-48E9-AB85-103A0583062F}</author>
  </authors>
  <commentList>
    <comment ref="B31" authorId="0" shapeId="0" xr:uid="{4CA6D47F-35E6-48E9-AB85-103A0583062F}">
      <text>
        <t>[Threaded comment]
Your version of Excel allows you to read this threaded comment; however, any edits to it will get removed if the file is opened in a newer version of Excel. Learn more: https://go.microsoft.com/fwlink/?linkid=870924
Comment:
    Any impact related to finance should be related to RCA</t>
      </text>
    </comment>
  </commentList>
</comments>
</file>

<file path=xl/sharedStrings.xml><?xml version="1.0" encoding="utf-8"?>
<sst xmlns="http://schemas.openxmlformats.org/spreadsheetml/2006/main" count="188" uniqueCount="97">
  <si>
    <t>Incident Number</t>
  </si>
  <si>
    <t>Priority</t>
  </si>
  <si>
    <t>Parameters</t>
  </si>
  <si>
    <t>Options</t>
  </si>
  <si>
    <t>Weightage</t>
  </si>
  <si>
    <t>Points</t>
  </si>
  <si>
    <t>Score</t>
  </si>
  <si>
    <r>
      <rPr>
        <b/>
        <sz val="11"/>
        <color theme="1"/>
        <rFont val="Calibri"/>
        <family val="2"/>
        <scheme val="minor"/>
      </rPr>
      <t>I  M  P  A   C  T</t>
    </r>
    <r>
      <rPr>
        <sz val="11"/>
        <color theme="1"/>
        <rFont val="Calibri"/>
        <family val="2"/>
        <scheme val="minor"/>
      </rPr>
      <t xml:space="preserve">                      ASSESSMENT</t>
    </r>
  </si>
  <si>
    <t>Type Of Site</t>
  </si>
  <si>
    <t>No Select</t>
  </si>
  <si>
    <t>Impact</t>
  </si>
  <si>
    <t>How many users are affected?</t>
  </si>
  <si>
    <t>Potential - 0</t>
  </si>
  <si>
    <t>Urgency</t>
  </si>
  <si>
    <t>High</t>
  </si>
  <si>
    <t>Medium</t>
  </si>
  <si>
    <t>Low</t>
  </si>
  <si>
    <t>Type of Application / Infrstructure</t>
  </si>
  <si>
    <t>Gold / Critical</t>
  </si>
  <si>
    <t>Critical (P1)</t>
  </si>
  <si>
    <t>High (P2)</t>
  </si>
  <si>
    <t>Medium (P3)</t>
  </si>
  <si>
    <t>No of Location or Sites Affected</t>
  </si>
  <si>
    <t>Single</t>
  </si>
  <si>
    <t>Low (P4)</t>
  </si>
  <si>
    <t>Impact Type</t>
  </si>
  <si>
    <t>Delivery Schedule</t>
  </si>
  <si>
    <t>Financial Impact In $ (loss of revenue)</t>
  </si>
  <si>
    <t>No Impact</t>
  </si>
  <si>
    <t>Current Impact Status</t>
  </si>
  <si>
    <t>Ongoing</t>
  </si>
  <si>
    <t>Potential</t>
  </si>
  <si>
    <t>Total Score</t>
  </si>
  <si>
    <r>
      <rPr>
        <b/>
        <sz val="11"/>
        <color theme="1"/>
        <rFont val="Calibri"/>
        <family val="2"/>
        <scheme val="minor"/>
      </rPr>
      <t>U R G E N C Y</t>
    </r>
    <r>
      <rPr>
        <sz val="11"/>
        <color theme="1"/>
        <rFont val="Calibri"/>
        <family val="2"/>
        <scheme val="minor"/>
      </rPr>
      <t xml:space="preserve">   ASSESSMENT</t>
    </r>
  </si>
  <si>
    <t>Application is GXP sensitive</t>
  </si>
  <si>
    <t>Yes</t>
  </si>
  <si>
    <t>Serious Compliance / Security Breach</t>
  </si>
  <si>
    <t>Any Business Audit/Inspection at site</t>
  </si>
  <si>
    <t>No</t>
  </si>
  <si>
    <t>Impact to business critical timeline</t>
  </si>
  <si>
    <t>Workaround Available</t>
  </si>
  <si>
    <t>Final Assessment of the incident based on Lead or SDL Approval</t>
  </si>
  <si>
    <t>SDL Name</t>
  </si>
  <si>
    <t>Lead Name</t>
  </si>
  <si>
    <t>Reason</t>
  </si>
  <si>
    <t>Downgraded</t>
  </si>
  <si>
    <t>Observations</t>
  </si>
  <si>
    <t>Impact Assessment</t>
  </si>
  <si>
    <t>Urgency Assessment</t>
  </si>
  <si>
    <t>MFG - Production</t>
  </si>
  <si>
    <t>Datacenter</t>
  </si>
  <si>
    <t>R&amp;D</t>
  </si>
  <si>
    <t>Ware House</t>
  </si>
  <si>
    <t>Admin/Sales/Commercial Office</t>
  </si>
  <si>
    <t>&gt;150</t>
  </si>
  <si>
    <t>10 to 150</t>
  </si>
  <si>
    <t>&lt;10</t>
  </si>
  <si>
    <t>Potential 0</t>
  </si>
  <si>
    <t>Gold App</t>
  </si>
  <si>
    <t>Silver App</t>
  </si>
  <si>
    <t>Bronze App</t>
  </si>
  <si>
    <t>No Select Other</t>
  </si>
  <si>
    <t>Multiple</t>
  </si>
  <si>
    <t>Global</t>
  </si>
  <si>
    <t>Service Level Commitment</t>
  </si>
  <si>
    <t>Revenue</t>
  </si>
  <si>
    <t>Financial Impact (loss of revenue)</t>
  </si>
  <si>
    <t>&gt;100K$</t>
  </si>
  <si>
    <t>10K$ - 100K$</t>
  </si>
  <si>
    <t>&lt;10K$</t>
  </si>
  <si>
    <t>Imminent</t>
  </si>
  <si>
    <r>
      <rPr>
        <b/>
        <u/>
        <sz val="9"/>
        <color theme="0"/>
        <rFont val="Segoe UI"/>
        <family val="2"/>
      </rPr>
      <t xml:space="preserve">Business Impact : </t>
    </r>
    <r>
      <rPr>
        <u/>
        <sz val="9"/>
        <color theme="0"/>
        <rFont val="Segoe UI"/>
        <family val="2"/>
      </rPr>
      <t xml:space="preserve">
</t>
    </r>
    <r>
      <rPr>
        <sz val="9"/>
        <color theme="0"/>
        <rFont val="Segoe UI"/>
        <family val="2"/>
      </rPr>
      <t xml:space="preserve">
•	A very important system or service is unavailable
•	A large amount of data has been corrupted
•	There is a suspected breach of IT security that could affect all users
•	There are potential legal or regulatory breaches
•	A complete system or service is unavailable
•	A high proportion of users are affected and cannot perform their work</t>
    </r>
  </si>
  <si>
    <r>
      <rPr>
        <b/>
        <u/>
        <sz val="9"/>
        <color theme="0"/>
        <rFont val="Segoe UI"/>
        <family val="2"/>
      </rPr>
      <t xml:space="preserve">Financial Impact : </t>
    </r>
    <r>
      <rPr>
        <u/>
        <sz val="9"/>
        <color theme="0"/>
        <rFont val="Segoe UI"/>
        <family val="2"/>
      </rPr>
      <t xml:space="preserve">
</t>
    </r>
    <r>
      <rPr>
        <sz val="9"/>
        <color theme="0"/>
        <rFont val="Segoe UI"/>
        <family val="2"/>
      </rPr>
      <t xml:space="preserve">
•	The financial impact of the Incident is (for example) likely to exceed $10,000.
•	The damage to the reputation of the business is likely to be high.</t>
    </r>
  </si>
  <si>
    <r>
      <rPr>
        <b/>
        <u/>
        <sz val="9"/>
        <color theme="0"/>
        <rFont val="Segoe UI"/>
        <family val="2"/>
      </rPr>
      <t xml:space="preserve">User Impact : </t>
    </r>
    <r>
      <rPr>
        <sz val="9"/>
        <color theme="0"/>
        <rFont val="Segoe UI"/>
        <family val="2"/>
      </rPr>
      <t xml:space="preserve">
•	How many users, and what type of user, are affected.  Some users such as VIPs may have higher demands or be more critical to the organizations business, for example, customer-facing staff</t>
    </r>
  </si>
  <si>
    <r>
      <t xml:space="preserve">
</t>
    </r>
    <r>
      <rPr>
        <b/>
        <sz val="8"/>
        <color rgb="FF374151"/>
        <rFont val="Segoe UI"/>
        <family val="2"/>
      </rPr>
      <t xml:space="preserve">Low Impact: </t>
    </r>
    <r>
      <rPr>
        <sz val="8"/>
        <color rgb="FF374151"/>
        <rFont val="Segoe UI"/>
        <family val="2"/>
      </rPr>
      <t xml:space="preserve">If further investigation reveals that the incident has minimal impact on operations, safety, or other critical factors, it may be downgraded in priority.
</t>
    </r>
    <r>
      <rPr>
        <b/>
        <sz val="8"/>
        <color rgb="FF374151"/>
        <rFont val="Segoe UI"/>
        <family val="2"/>
      </rPr>
      <t>Misclassification:</t>
    </r>
    <r>
      <rPr>
        <sz val="8"/>
        <color rgb="FF374151"/>
        <rFont val="Segoe UI"/>
        <family val="2"/>
      </rPr>
      <t xml:space="preserve"> </t>
    </r>
    <r>
      <rPr>
        <sz val="8"/>
        <color rgb="FF374151"/>
        <rFont val="Segoe UI"/>
        <family val="2"/>
      </rPr>
      <t>If the initial assessment of the incident severity or urgency was incorrect, it might be downgraded after a more accurate evaluation.</t>
    </r>
    <r>
      <rPr>
        <b/>
        <sz val="8"/>
        <color rgb="FF374151"/>
        <rFont val="Segoe UI"/>
        <family val="2"/>
      </rPr>
      <t xml:space="preserve">
Resource Availability:</t>
    </r>
    <r>
      <rPr>
        <sz val="8"/>
        <color rgb="FF374151"/>
        <rFont val="Segoe UI"/>
        <family val="2"/>
      </rPr>
      <t xml:space="preserve"> </t>
    </r>
    <r>
      <rPr>
        <sz val="8"/>
        <color rgb="FF374151"/>
        <rFont val="Segoe UI"/>
        <family val="2"/>
      </rPr>
      <t>If the resources needed to address the incident are limited or unavailable, it may be necessary to downgrade the priority until resources become available.</t>
    </r>
    <r>
      <rPr>
        <sz val="8"/>
        <color rgb="FF374151"/>
        <rFont val="Segoe UI"/>
        <family val="2"/>
      </rPr>
      <t xml:space="preserve">
</t>
    </r>
    <r>
      <rPr>
        <b/>
        <sz val="8"/>
        <color rgb="FF374151"/>
        <rFont val="Segoe UI"/>
        <family val="2"/>
      </rPr>
      <t>Mitigation Measures Implemented:</t>
    </r>
    <r>
      <rPr>
        <sz val="8"/>
        <color rgb="FF374151"/>
        <rFont val="Segoe UI"/>
        <family val="2"/>
      </rPr>
      <t xml:space="preserve"> </t>
    </r>
    <r>
      <rPr>
        <sz val="8"/>
        <color rgb="FF374151"/>
        <rFont val="Segoe UI"/>
        <family val="2"/>
      </rPr>
      <t>If interim measures are put in place to mitigate the impact of the incident, the urgency may decrease, leading to a downgrade in priority.</t>
    </r>
    <r>
      <rPr>
        <sz val="8"/>
        <color rgb="FF374151"/>
        <rFont val="Segoe UI"/>
        <family val="2"/>
      </rPr>
      <t xml:space="preserve">
</t>
    </r>
    <r>
      <rPr>
        <b/>
        <sz val="8"/>
        <color rgb="FF374151"/>
        <rFont val="Segoe UI"/>
        <family val="2"/>
      </rPr>
      <t xml:space="preserve">Reevaluation of Risk: </t>
    </r>
    <r>
      <rPr>
        <sz val="8"/>
        <color rgb="FF374151"/>
        <rFont val="Segoe UI"/>
        <family val="2"/>
      </rPr>
      <t>Upon further analysis or review, it may be determined that the risk associated with the incident is lower than initially thought, resulting in a downgrade in priority.</t>
    </r>
  </si>
  <si>
    <t>Upgraded</t>
  </si>
  <si>
    <t xml:space="preserve">Service Level Commitment </t>
  </si>
  <si>
    <t>A service level commitment (SLC) is a clear promise about the quality and performance of a service a company provides. It explains the expected standards and responsibilities for delivering that service. SLCs are often part of service-level agreements (SLAs) to make sure both the provider and the customer understand what to expect.</t>
  </si>
  <si>
    <r>
      <rPr>
        <b/>
        <sz val="8"/>
        <color rgb="FF374151"/>
        <rFont val="Segoe UI"/>
        <family val="2"/>
      </rPr>
      <t>Increased Impact:</t>
    </r>
    <r>
      <rPr>
        <sz val="8"/>
        <color rgb="FF374151"/>
        <rFont val="Segoe UI"/>
        <family val="2"/>
      </rPr>
      <t xml:space="preserve"> </t>
    </r>
    <r>
      <rPr>
        <sz val="8"/>
        <color rgb="FF374151"/>
        <rFont val="Segoe UI"/>
        <family val="2"/>
      </rPr>
      <t xml:space="preserve">If new information or developments indicate that the incident's impact is more significant than initially assessed, it may be upgraded in priority to ensure timely and appropriate response.
</t>
    </r>
    <r>
      <rPr>
        <b/>
        <sz val="8"/>
        <color rgb="FF374151"/>
        <rFont val="Segoe UI"/>
        <family val="2"/>
      </rPr>
      <t xml:space="preserve">Escalation of Risk: </t>
    </r>
    <r>
      <rPr>
        <sz val="8"/>
        <color rgb="FF374151"/>
        <rFont val="Segoe UI"/>
        <family val="2"/>
      </rPr>
      <t xml:space="preserve">If the risk associated with the incident escalates due to changing conditions or unforeseen consequences, it may warrant an upgrade in priority to address the heightened level of risk.
</t>
    </r>
    <r>
      <rPr>
        <b/>
        <sz val="8"/>
        <color rgb="FF374151"/>
        <rFont val="Segoe UI"/>
        <family val="2"/>
      </rPr>
      <t xml:space="preserve">Emerging Threats: </t>
    </r>
    <r>
      <rPr>
        <sz val="8"/>
        <color rgb="FF374151"/>
        <rFont val="Segoe UI"/>
        <family val="2"/>
      </rPr>
      <t xml:space="preserve">If new threats or vulnerabilities are identified that could exacerbate the incident or lead to additional consequences, it may be necessary to upgrade the priority to prevent further escalation.
</t>
    </r>
    <r>
      <rPr>
        <b/>
        <sz val="8"/>
        <color rgb="FF374151"/>
        <rFont val="Segoe UI"/>
        <family val="2"/>
      </rPr>
      <t>Public Safety Concerns:</t>
    </r>
    <r>
      <rPr>
        <sz val="8"/>
        <color rgb="FF374151"/>
        <rFont val="Segoe UI"/>
        <family val="2"/>
      </rPr>
      <t xml:space="preserve"> </t>
    </r>
    <r>
      <rPr>
        <sz val="8"/>
        <color rgb="FF374151"/>
        <rFont val="Segoe UI"/>
        <family val="2"/>
      </rPr>
      <t xml:space="preserve">If the incident poses a significant risk to public safety or welfare, it may be upgraded in priority to prioritize the protection of individuals and communities.
</t>
    </r>
    <r>
      <rPr>
        <b/>
        <sz val="8"/>
        <color rgb="FF374151"/>
        <rFont val="Segoe UI"/>
        <family val="2"/>
      </rPr>
      <t xml:space="preserve">Legal or Regulatory Requirements: </t>
    </r>
    <r>
      <rPr>
        <sz val="8"/>
        <color rgb="FF374151"/>
        <rFont val="Segoe UI"/>
        <family val="2"/>
      </rPr>
      <t>If legal or regulatory requirements dictate a higher level of response or urgency for certain types of incidents, it may result in an upgrade in priority to ensure compliance with applicable laws and regulations.</t>
    </r>
  </si>
  <si>
    <r>
      <rPr>
        <b/>
        <u/>
        <sz val="9"/>
        <color theme="1"/>
        <rFont val="Segoe UI"/>
        <family val="2"/>
      </rPr>
      <t>Note :</t>
    </r>
    <r>
      <rPr>
        <sz val="9"/>
        <color theme="1"/>
        <rFont val="Segoe UI"/>
        <family val="2"/>
      </rPr>
      <t xml:space="preserve">
</t>
    </r>
    <r>
      <rPr>
        <b/>
        <u/>
        <sz val="9"/>
        <color theme="1"/>
        <rFont val="Segoe UI"/>
        <family val="2"/>
      </rPr>
      <t>Critical :</t>
    </r>
    <r>
      <rPr>
        <b/>
        <sz val="9"/>
        <color theme="1"/>
        <rFont val="Segoe UI"/>
        <family val="2"/>
      </rPr>
      <t xml:space="preserve"> </t>
    </r>
    <r>
      <rPr>
        <sz val="9"/>
        <color theme="1"/>
        <rFont val="Segoe UI"/>
        <family val="2"/>
      </rPr>
      <t>All Applications which are used at MFG &amp; R&amp;D are to be considered</t>
    </r>
    <r>
      <rPr>
        <b/>
        <sz val="9"/>
        <color theme="1"/>
        <rFont val="Segoe UI"/>
        <family val="2"/>
      </rPr>
      <t xml:space="preserve">
</t>
    </r>
    <r>
      <rPr>
        <b/>
        <u/>
        <sz val="9"/>
        <color theme="1"/>
        <rFont val="Segoe UI"/>
        <family val="2"/>
      </rPr>
      <t>High :</t>
    </r>
    <r>
      <rPr>
        <b/>
        <sz val="9"/>
        <color theme="1"/>
        <rFont val="Segoe UI"/>
        <family val="2"/>
      </rPr>
      <t xml:space="preserve"> </t>
    </r>
    <r>
      <rPr>
        <sz val="9"/>
        <color theme="1"/>
        <rFont val="Segoe UI"/>
        <family val="2"/>
      </rPr>
      <t>All Application which are under Commercial &amp; Enterprise Gold are to be considered</t>
    </r>
    <r>
      <rPr>
        <b/>
        <sz val="9"/>
        <color theme="1"/>
        <rFont val="Segoe UI"/>
        <family val="2"/>
      </rPr>
      <t xml:space="preserve">
</t>
    </r>
    <r>
      <rPr>
        <b/>
        <u/>
        <sz val="9"/>
        <color theme="1"/>
        <rFont val="Segoe UI"/>
        <family val="2"/>
      </rPr>
      <t>Medium :</t>
    </r>
    <r>
      <rPr>
        <b/>
        <sz val="9"/>
        <color theme="1"/>
        <rFont val="Segoe UI"/>
        <family val="2"/>
      </rPr>
      <t xml:space="preserve"> </t>
    </r>
    <r>
      <rPr>
        <sz val="9"/>
        <color theme="1"/>
        <rFont val="Segoe UI"/>
        <family val="2"/>
      </rPr>
      <t>All Application which are under Enterprise Sliver &amp; Recommended by SLDs are to be considered</t>
    </r>
    <r>
      <rPr>
        <b/>
        <sz val="9"/>
        <color theme="1"/>
        <rFont val="Segoe UI"/>
        <family val="2"/>
      </rPr>
      <t xml:space="preserve">
</t>
    </r>
    <r>
      <rPr>
        <b/>
        <u/>
        <sz val="9"/>
        <color theme="1"/>
        <rFont val="Segoe UI"/>
        <family val="2"/>
      </rPr>
      <t>Low :</t>
    </r>
    <r>
      <rPr>
        <b/>
        <sz val="9"/>
        <color theme="1"/>
        <rFont val="Segoe UI"/>
        <family val="2"/>
      </rPr>
      <t xml:space="preserve"> </t>
    </r>
    <r>
      <rPr>
        <sz val="9"/>
        <color theme="1"/>
        <rFont val="Segoe UI"/>
        <family val="2"/>
      </rPr>
      <t>All Application which are under Enterprise Bronze &amp; Recommended by SLDs are to be considered</t>
    </r>
  </si>
  <si>
    <t>Service outage (frozen)-Infrstructure / Application is totally down.) Completely unavailable  during business time</t>
  </si>
  <si>
    <t>Service Degradation / Disruption during business time</t>
  </si>
  <si>
    <t>No. of users impacted</t>
  </si>
  <si>
    <t>10-150</t>
  </si>
  <si>
    <t>Criticality of the application/service/component</t>
  </si>
  <si>
    <t>Loss is Complete/Partial/Potential</t>
  </si>
  <si>
    <t>Complete</t>
  </si>
  <si>
    <t>No. of locations impacted</t>
  </si>
  <si>
    <t xml:space="preserve">Impact to Business(Impacting revenue,Impacting  any service levels, Delivery schedule, Manufacturing, Production, Order delivery,Batch processing etc.) </t>
  </si>
  <si>
    <t>Impact Ongoing/Imminent/Potential</t>
  </si>
  <si>
    <t>Financial Impact</t>
  </si>
  <si>
    <t>&gt;100000</t>
  </si>
  <si>
    <t>(US Dollars)</t>
  </si>
  <si>
    <t>Service disruption during critical business period or Serious compliance issue</t>
  </si>
  <si>
    <t>Service disruption during business working time</t>
  </si>
  <si>
    <t>Imminent cannot be or is very difficult to stop. It will happen.</t>
  </si>
  <si>
    <t>Potential means it might happen, it might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</si>
</sst>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[$$-409]* #,##0.00_);_([$$-409]* \(#,##0.00\);_([$$-409]* &quot;-&quot;??_);_(@_)"/>
    <numFmt numFmtId="165" formatCode="0.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B3F47"/>
      <name val="Calibri"/>
      <family val="2"/>
      <scheme val="minor"/>
    </font>
    <font>
      <b/>
      <sz val="9"/>
      <color theme="0"/>
      <name val="Segoe UI"/>
      <family val="2"/>
    </font>
    <font>
      <sz val="9"/>
      <color rgb="FF3B3F47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9"/>
      <color rgb="FF000000"/>
      <name val="Segoe UI"/>
      <family val="2"/>
    </font>
    <font>
      <sz val="9"/>
      <color rgb="FF000000"/>
      <name val="Segoe UI"/>
      <family val="2"/>
    </font>
    <font>
      <sz val="11"/>
      <color indexed="8"/>
      <name val="Calibri"/>
      <family val="2"/>
      <charset val="134"/>
    </font>
    <font>
      <u/>
      <sz val="11"/>
      <color theme="10"/>
      <name val="Calibri"/>
      <family val="2"/>
      <charset val="134"/>
    </font>
    <font>
      <sz val="9"/>
      <color theme="1"/>
      <name val="Calibri"/>
      <family val="2"/>
      <scheme val="minor"/>
    </font>
    <font>
      <b/>
      <u/>
      <sz val="9"/>
      <color theme="1"/>
      <name val="Segoe UI"/>
      <family val="2"/>
    </font>
    <font>
      <sz val="8"/>
      <color rgb="FF374151"/>
      <name val="Segoe UI"/>
      <family val="2"/>
    </font>
    <font>
      <b/>
      <sz val="8"/>
      <color rgb="FF374151"/>
      <name val="Segoe UI"/>
      <family val="2"/>
    </font>
    <font>
      <sz val="9"/>
      <color theme="0"/>
      <name val="Segoe UI"/>
      <family val="2"/>
    </font>
    <font>
      <b/>
      <u/>
      <sz val="9"/>
      <color theme="0"/>
      <name val="Segoe UI"/>
      <family val="2"/>
    </font>
    <font>
      <u/>
      <sz val="9"/>
      <color theme="0"/>
      <name val="Segoe UI"/>
      <family val="2"/>
    </font>
    <font>
      <sz val="10"/>
      <color rgb="FF374151"/>
      <name val="Segoe UI"/>
      <family val="2"/>
    </font>
    <font>
      <b/>
      <sz val="9"/>
      <color rgb="FF3B3F47"/>
      <name val="Segoe UI"/>
      <family val="2"/>
    </font>
    <font>
      <b/>
      <sz val="11"/>
      <color rgb="FF3B3F47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0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44" fontId="1" fillId="0" borderId="0" applyFont="0" applyFill="0" applyBorder="0" applyAlignment="0" applyProtection="0"/>
  </cellStyleXfs>
  <cellXfs count="149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/>
    <xf numFmtId="0" fontId="2" fillId="2" borderId="3" xfId="0" applyFont="1" applyFill="1" applyBorder="1"/>
    <xf numFmtId="0" fontId="0" fillId="0" borderId="4" xfId="0" applyBorder="1" applyAlignment="1">
      <alignment wrapText="1"/>
    </xf>
    <xf numFmtId="9" fontId="0" fillId="0" borderId="5" xfId="1" applyFont="1" applyBorder="1" applyProtection="1"/>
    <xf numFmtId="0" fontId="0" fillId="0" borderId="5" xfId="0" applyBorder="1"/>
    <xf numFmtId="0" fontId="0" fillId="0" borderId="6" xfId="0" applyBorder="1"/>
    <xf numFmtId="0" fontId="0" fillId="3" borderId="5" xfId="0" applyFill="1" applyBorder="1"/>
    <xf numFmtId="0" fontId="0" fillId="0" borderId="7" xfId="0" applyBorder="1" applyAlignment="1">
      <alignment wrapText="1"/>
    </xf>
    <xf numFmtId="0" fontId="0" fillId="0" borderId="8" xfId="0" applyBorder="1"/>
    <xf numFmtId="0" fontId="0" fillId="0" borderId="9" xfId="0" applyBorder="1"/>
    <xf numFmtId="0" fontId="2" fillId="2" borderId="1" xfId="0" applyFont="1" applyFill="1" applyBorder="1"/>
    <xf numFmtId="0" fontId="0" fillId="0" borderId="4" xfId="0" applyBorder="1"/>
    <xf numFmtId="0" fontId="0" fillId="3" borderId="5" xfId="0" quotePrefix="1" applyFill="1" applyBorder="1"/>
    <xf numFmtId="9" fontId="0" fillId="0" borderId="5" xfId="1" applyFont="1" applyBorder="1" applyAlignment="1" applyProtection="1"/>
    <xf numFmtId="0" fontId="0" fillId="0" borderId="7" xfId="0" applyBorder="1"/>
    <xf numFmtId="0" fontId="3" fillId="0" borderId="5" xfId="0" applyFont="1" applyBorder="1" applyAlignment="1">
      <alignment horizontal="left" vertical="center"/>
    </xf>
    <xf numFmtId="0" fontId="4" fillId="4" borderId="10" xfId="0" applyFont="1" applyFill="1" applyBorder="1" applyAlignment="1">
      <alignment horizontal="center"/>
    </xf>
    <xf numFmtId="9" fontId="6" fillId="0" borderId="1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9" fontId="6" fillId="0" borderId="12" xfId="0" applyNumberFormat="1" applyFont="1" applyBorder="1" applyAlignment="1">
      <alignment horizontal="center" vertical="center"/>
    </xf>
    <xf numFmtId="9" fontId="0" fillId="0" borderId="5" xfId="1" applyFont="1" applyBorder="1" applyAlignment="1" applyProtection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6" fillId="0" borderId="0" xfId="0" applyFont="1"/>
    <xf numFmtId="0" fontId="6" fillId="0" borderId="5" xfId="0" applyFont="1" applyBorder="1" applyAlignment="1">
      <alignment horizontal="center" vertical="center"/>
    </xf>
    <xf numFmtId="2" fontId="7" fillId="0" borderId="14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center" wrapText="1"/>
    </xf>
    <xf numFmtId="0" fontId="7" fillId="0" borderId="5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2" fontId="7" fillId="0" borderId="5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 vertical="center"/>
    </xf>
    <xf numFmtId="0" fontId="0" fillId="0" borderId="16" xfId="0" applyBorder="1"/>
    <xf numFmtId="0" fontId="4" fillId="4" borderId="16" xfId="0" applyFont="1" applyFill="1" applyBorder="1" applyAlignment="1">
      <alignment horizontal="center"/>
    </xf>
    <xf numFmtId="0" fontId="0" fillId="0" borderId="13" xfId="0" applyBorder="1"/>
    <xf numFmtId="0" fontId="4" fillId="4" borderId="13" xfId="0" applyFont="1" applyFill="1" applyBorder="1" applyAlignment="1">
      <alignment horizont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12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 wrapText="1"/>
    </xf>
    <xf numFmtId="0" fontId="7" fillId="0" borderId="0" xfId="0" applyFont="1"/>
    <xf numFmtId="0" fontId="14" fillId="0" borderId="0" xfId="0" applyFont="1" applyAlignment="1">
      <alignment horizontal="left" vertical="center" indent="1"/>
    </xf>
    <xf numFmtId="0" fontId="6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0" fontId="0" fillId="0" borderId="5" xfId="0" applyBorder="1" applyAlignment="1">
      <alignment horizontal="left"/>
    </xf>
    <xf numFmtId="0" fontId="5" fillId="0" borderId="0" xfId="0" applyFont="1" applyAlignment="1">
      <alignment horizontal="left" vertical="top" wrapText="1"/>
    </xf>
    <xf numFmtId="0" fontId="9" fillId="7" borderId="36" xfId="0" applyFont="1" applyFill="1" applyBorder="1" applyAlignment="1">
      <alignment horizontal="center" vertical="center" wrapText="1"/>
    </xf>
    <xf numFmtId="0" fontId="9" fillId="11" borderId="37" xfId="0" applyFont="1" applyFill="1" applyBorder="1" applyAlignment="1">
      <alignment horizontal="center" vertical="center" wrapText="1"/>
    </xf>
    <xf numFmtId="0" fontId="9" fillId="10" borderId="38" xfId="0" applyFont="1" applyFill="1" applyBorder="1" applyAlignment="1">
      <alignment horizontal="center" vertical="center" wrapText="1"/>
    </xf>
    <xf numFmtId="0" fontId="9" fillId="7" borderId="36" xfId="0" applyFont="1" applyFill="1" applyBorder="1" applyAlignment="1">
      <alignment vertical="center" wrapText="1"/>
    </xf>
    <xf numFmtId="0" fontId="9" fillId="8" borderId="10" xfId="0" applyFont="1" applyFill="1" applyBorder="1" applyAlignment="1">
      <alignment horizontal="center" vertical="center" wrapText="1"/>
    </xf>
    <xf numFmtId="0" fontId="9" fillId="9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11" borderId="37" xfId="0" applyFont="1" applyFill="1" applyBorder="1" applyAlignment="1">
      <alignment vertical="center" wrapText="1"/>
    </xf>
    <xf numFmtId="0" fontId="9" fillId="10" borderId="10" xfId="0" applyFont="1" applyFill="1" applyBorder="1" applyAlignment="1">
      <alignment horizontal="center" vertical="center" wrapText="1"/>
    </xf>
    <xf numFmtId="0" fontId="9" fillId="10" borderId="38" xfId="0" applyFont="1" applyFill="1" applyBorder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0" fontId="0" fillId="0" borderId="23" xfId="0" applyBorder="1" applyAlignment="1">
      <alignment horizontal="center"/>
    </xf>
    <xf numFmtId="0" fontId="6" fillId="0" borderId="5" xfId="0" applyFont="1" applyBorder="1"/>
    <xf numFmtId="9" fontId="0" fillId="0" borderId="5" xfId="0" applyNumberFormat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164" fontId="0" fillId="3" borderId="5" xfId="4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/>
    </xf>
    <xf numFmtId="0" fontId="8" fillId="6" borderId="36" xfId="0" applyFont="1" applyFill="1" applyBorder="1" applyAlignment="1">
      <alignment vertical="center" wrapText="1"/>
    </xf>
    <xf numFmtId="0" fontId="3" fillId="0" borderId="5" xfId="0" applyFont="1" applyBorder="1" applyAlignment="1">
      <alignment horizontal="left" vertical="center" wrapText="1"/>
    </xf>
    <xf numFmtId="0" fontId="7" fillId="7" borderId="16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5" xfId="0" applyFont="1" applyBorder="1"/>
    <xf numFmtId="0" fontId="20" fillId="0" borderId="5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2" fillId="0" borderId="23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2" fillId="0" borderId="23" xfId="0" applyFont="1" applyBorder="1"/>
    <xf numFmtId="0" fontId="2" fillId="12" borderId="5" xfId="0" applyFont="1" applyFill="1" applyBorder="1"/>
    <xf numFmtId="0" fontId="2" fillId="0" borderId="5" xfId="0" applyFont="1" applyBorder="1" applyAlignment="1">
      <alignment horizontal="left" vertical="center"/>
    </xf>
    <xf numFmtId="0" fontId="7" fillId="0" borderId="39" xfId="0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right"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6" borderId="15" xfId="0" applyFont="1" applyFill="1" applyBorder="1" applyAlignment="1">
      <alignment horizontal="center" vertical="center" wrapText="1"/>
    </xf>
    <xf numFmtId="0" fontId="8" fillId="6" borderId="3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6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0" borderId="2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 textRotation="90" wrapText="1"/>
    </xf>
    <xf numFmtId="0" fontId="0" fillId="0" borderId="40" xfId="0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 textRotation="90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4" fillId="4" borderId="31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16" fillId="4" borderId="15" xfId="0" applyFont="1" applyFill="1" applyBorder="1" applyAlignment="1">
      <alignment horizontal="left" vertical="top" wrapText="1"/>
    </xf>
    <xf numFmtId="0" fontId="16" fillId="4" borderId="35" xfId="0" applyFont="1" applyFill="1" applyBorder="1" applyAlignment="1">
      <alignment horizontal="left" vertical="top" wrapText="1"/>
    </xf>
    <xf numFmtId="0" fontId="16" fillId="4" borderId="34" xfId="0" applyFont="1" applyFill="1" applyBorder="1" applyAlignment="1">
      <alignment horizontal="left" vertical="top" wrapText="1"/>
    </xf>
    <xf numFmtId="0" fontId="16" fillId="4" borderId="33" xfId="0" applyFont="1" applyFill="1" applyBorder="1" applyAlignment="1">
      <alignment horizontal="left" vertical="top" wrapText="1"/>
    </xf>
    <xf numFmtId="0" fontId="16" fillId="4" borderId="0" xfId="0" applyFont="1" applyFill="1" applyAlignment="1">
      <alignment horizontal="left" vertical="top" wrapText="1"/>
    </xf>
    <xf numFmtId="0" fontId="16" fillId="4" borderId="32" xfId="0" applyFont="1" applyFill="1" applyBorder="1" applyAlignment="1">
      <alignment horizontal="left" vertical="top" wrapText="1"/>
    </xf>
    <xf numFmtId="0" fontId="16" fillId="4" borderId="31" xfId="0" applyFont="1" applyFill="1" applyBorder="1" applyAlignment="1">
      <alignment horizontal="left" vertical="top" wrapText="1"/>
    </xf>
    <xf numFmtId="0" fontId="16" fillId="4" borderId="30" xfId="0" applyFont="1" applyFill="1" applyBorder="1" applyAlignment="1">
      <alignment horizontal="left" vertical="top" wrapText="1"/>
    </xf>
    <xf numFmtId="0" fontId="16" fillId="4" borderId="29" xfId="0" applyFont="1" applyFill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0" borderId="34" xfId="0" applyFont="1" applyBorder="1" applyAlignment="1">
      <alignment horizontal="left" vertical="top" wrapText="1"/>
    </xf>
    <xf numFmtId="0" fontId="6" fillId="0" borderId="33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32" xfId="0" applyFont="1" applyBorder="1" applyAlignment="1">
      <alignment horizontal="left" vertical="top" wrapText="1"/>
    </xf>
    <xf numFmtId="0" fontId="6" fillId="0" borderId="31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6" fillId="0" borderId="29" xfId="0" applyFont="1" applyBorder="1" applyAlignment="1">
      <alignment horizontal="left" vertical="top" wrapText="1"/>
    </xf>
    <xf numFmtId="0" fontId="19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center"/>
    </xf>
  </cellXfs>
  <cellStyles count="5">
    <cellStyle name="Currency" xfId="4" builtinId="4"/>
    <cellStyle name="Lien hypertexte 2" xfId="3" xr:uid="{46A82A5A-AA38-49A3-9B05-9D869C78473B}"/>
    <cellStyle name="Normal" xfId="0" builtinId="0"/>
    <cellStyle name="Normal 2" xfId="2" xr:uid="{EB12FB61-91F6-45FA-95D0-6839977E97B3}"/>
    <cellStyle name="Percent" xfId="1" builtinId="5"/>
  </cellStyles>
  <dxfs count="29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theme="5" tint="0.59996337778862885"/>
        </patternFill>
      </fill>
    </dxf>
    <dxf>
      <font>
        <color theme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vijeet Kumar" id="{6E7BD045-C34F-4FBF-AB9F-E027F42DD509}" userId="S::Avijeet.Kumar@viatris.com::bc18dea3-a67d-4bed-86c7-7c2f90a8834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1" dT="2024-08-29T09:33:29.59" personId="{6E7BD045-C34F-4FBF-AB9F-E027F42DD509}" id="{4CA6D47F-35E6-48E9-AB85-103A0583062F}">
    <text>Any impact related to finance should be related to RCA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22319-C3C5-4BD6-9139-B0685F2A89B1}">
  <dimension ref="B1:Q44"/>
  <sheetViews>
    <sheetView tabSelected="1" topLeftCell="A7" zoomScale="93" zoomScaleNormal="93" workbookViewId="0">
      <selection activeCell="D18" sqref="D18"/>
    </sheetView>
  </sheetViews>
  <sheetFormatPr defaultColWidth="8.85546875" defaultRowHeight="14.45"/>
  <cols>
    <col min="2" max="2" width="14.85546875" customWidth="1"/>
    <col min="3" max="3" width="33.42578125" bestFit="1" customWidth="1"/>
    <col min="4" max="4" width="23.5703125" bestFit="1" customWidth="1"/>
    <col min="5" max="5" width="10.85546875" customWidth="1"/>
    <col min="6" max="6" width="8.85546875" customWidth="1"/>
    <col min="8" max="8" width="5.42578125" customWidth="1"/>
    <col min="9" max="9" width="4.140625" customWidth="1"/>
    <col min="10" max="10" width="8.140625" customWidth="1"/>
    <col min="11" max="11" width="8.85546875" customWidth="1"/>
    <col min="12" max="12" width="11.85546875" customWidth="1"/>
    <col min="13" max="13" width="12.140625" customWidth="1"/>
    <col min="14" max="14" width="10.140625" bestFit="1" customWidth="1"/>
    <col min="15" max="15" width="8.85546875" customWidth="1"/>
    <col min="16" max="16" width="24.140625" customWidth="1"/>
  </cols>
  <sheetData>
    <row r="1" spans="2:17">
      <c r="B1" s="35" t="s">
        <v>0</v>
      </c>
      <c r="C1" s="35"/>
    </row>
    <row r="2" spans="2:17" ht="15">
      <c r="B2" s="36" t="s">
        <v>1</v>
      </c>
      <c r="C2" s="80" t="str">
        <f>VLOOKUP(D22,K8:N10,MATCH(D14,L7:N7,0)+1,FALSE)</f>
        <v>Low (P4)</v>
      </c>
      <c r="D2" s="80">
        <f>IF($C2&lt;&gt;"",IF($C2="Critical (P1)",1,IF($C2="High (P2)",2,IF($C2="Medium (P3)",3,IF($C2="Low (P4)",4,0)))),"")</f>
        <v>4</v>
      </c>
    </row>
    <row r="3" spans="2:17">
      <c r="B3" s="39"/>
      <c r="C3" s="40"/>
      <c r="D3" s="40"/>
      <c r="E3" s="40"/>
      <c r="F3" s="40"/>
      <c r="G3" s="41"/>
    </row>
    <row r="4" spans="2:17">
      <c r="B4" s="42"/>
      <c r="C4" s="43"/>
      <c r="D4" s="43"/>
      <c r="E4" s="43"/>
      <c r="F4" s="43"/>
      <c r="G4" s="44"/>
    </row>
    <row r="5" spans="2:17" ht="15.6" thickBot="1">
      <c r="B5" s="37"/>
      <c r="C5" s="38" t="s">
        <v>2</v>
      </c>
      <c r="D5" s="38" t="s">
        <v>3</v>
      </c>
      <c r="E5" s="38" t="s">
        <v>4</v>
      </c>
      <c r="F5" s="38" t="s">
        <v>5</v>
      </c>
      <c r="G5" s="38" t="s">
        <v>6</v>
      </c>
      <c r="I5" s="60"/>
      <c r="P5" s="58"/>
      <c r="Q5" s="57"/>
    </row>
    <row r="6" spans="2:17" ht="15" customHeight="1" thickBot="1">
      <c r="B6" s="117" t="s">
        <v>7</v>
      </c>
      <c r="C6" s="17" t="s">
        <v>8</v>
      </c>
      <c r="D6" s="75" t="s">
        <v>9</v>
      </c>
      <c r="E6" s="74">
        <v>0.2</v>
      </c>
      <c r="F6" s="23">
        <f>IF($D6&lt;&gt;"",IF($D6="MFG - Production",10,IF($D6="R&amp;D",8,IF($D6="Datacenter",10,IF($D6="Ware House",6,IF($D6="Admin/Sales/Commercial Office",4,0))))),"")</f>
        <v>0</v>
      </c>
      <c r="G6" s="23">
        <f t="shared" ref="G6:G12" si="0">IF($F6&lt;&gt;"",E6*F6,0)</f>
        <v>0</v>
      </c>
      <c r="J6" s="58"/>
      <c r="L6" s="99" t="s">
        <v>10</v>
      </c>
      <c r="M6" s="100"/>
      <c r="N6" s="100"/>
      <c r="P6" s="58"/>
      <c r="Q6" s="57"/>
    </row>
    <row r="7" spans="2:17" ht="15" thickBot="1">
      <c r="B7" s="118"/>
      <c r="C7" s="17" t="s">
        <v>11</v>
      </c>
      <c r="D7" s="75" t="s">
        <v>12</v>
      </c>
      <c r="E7" s="22">
        <v>0.1</v>
      </c>
      <c r="F7" s="23">
        <f>IF($D7&lt;&gt;"",IF($D7="&gt;150",10,IF($D7="10-150",6,IF($D7="&lt;10",2,0))),"")</f>
        <v>0</v>
      </c>
      <c r="G7" s="23">
        <f t="shared" si="0"/>
        <v>0</v>
      </c>
      <c r="J7" s="58"/>
      <c r="K7" s="78" t="s">
        <v>13</v>
      </c>
      <c r="L7" s="61" t="s">
        <v>14</v>
      </c>
      <c r="M7" s="62" t="s">
        <v>15</v>
      </c>
      <c r="N7" s="63" t="s">
        <v>16</v>
      </c>
      <c r="P7" s="58"/>
      <c r="Q7" s="57"/>
    </row>
    <row r="8" spans="2:17" ht="15" thickBot="1">
      <c r="B8" s="118"/>
      <c r="C8" s="17" t="s">
        <v>17</v>
      </c>
      <c r="D8" s="24" t="s">
        <v>18</v>
      </c>
      <c r="E8" s="22">
        <v>0.15</v>
      </c>
      <c r="F8" s="23">
        <f>IF($D8&lt;&gt;"",IF($D8="Gold / Critical",10,IF($D8="Silver / High",8,IF($D8="Bronze / Medium",6,2))),"")</f>
        <v>10</v>
      </c>
      <c r="G8" s="23">
        <f t="shared" si="0"/>
        <v>1.5</v>
      </c>
      <c r="J8" s="58"/>
      <c r="K8" s="64" t="s">
        <v>14</v>
      </c>
      <c r="L8" s="65" t="s">
        <v>19</v>
      </c>
      <c r="M8" s="66" t="s">
        <v>20</v>
      </c>
      <c r="N8" s="67" t="s">
        <v>21</v>
      </c>
      <c r="P8" s="58"/>
      <c r="Q8" s="57"/>
    </row>
    <row r="9" spans="2:17" ht="15" thickBot="1">
      <c r="B9" s="118"/>
      <c r="C9" s="17" t="s">
        <v>22</v>
      </c>
      <c r="D9" s="24" t="s">
        <v>23</v>
      </c>
      <c r="E9" s="22">
        <v>0.15</v>
      </c>
      <c r="F9" s="23">
        <f>IF($D9&lt;&gt;"",IF($D9="Global",10,IF($D9="Multiple",8,4)),"")</f>
        <v>4</v>
      </c>
      <c r="G9" s="23">
        <f t="shared" si="0"/>
        <v>0.6</v>
      </c>
      <c r="J9" s="58"/>
      <c r="K9" s="68" t="s">
        <v>15</v>
      </c>
      <c r="L9" s="66" t="s">
        <v>20</v>
      </c>
      <c r="M9" s="67" t="s">
        <v>21</v>
      </c>
      <c r="N9" s="69" t="s">
        <v>24</v>
      </c>
      <c r="P9" s="58"/>
      <c r="Q9" s="57"/>
    </row>
    <row r="10" spans="2:17" ht="15" thickBot="1">
      <c r="B10" s="118"/>
      <c r="C10" s="17" t="s">
        <v>25</v>
      </c>
      <c r="D10" s="24" t="s">
        <v>26</v>
      </c>
      <c r="E10" s="74">
        <v>0.15</v>
      </c>
      <c r="F10" s="23">
        <f>IF($D10&lt;&gt;"",IF($D10="Service Level Commitment",8,IF($D10="Delivery Schedule",4,IF($D10="Potential",0,IF($D10="Revenue",10,0)))))</f>
        <v>4</v>
      </c>
      <c r="G10" s="23">
        <f t="shared" si="0"/>
        <v>0.6</v>
      </c>
      <c r="J10" s="58"/>
      <c r="K10" s="70" t="s">
        <v>16</v>
      </c>
      <c r="L10" s="67" t="s">
        <v>21</v>
      </c>
      <c r="M10" s="69" t="s">
        <v>24</v>
      </c>
      <c r="N10" s="69" t="s">
        <v>24</v>
      </c>
    </row>
    <row r="11" spans="2:17" ht="15">
      <c r="B11" s="118"/>
      <c r="C11" s="17" t="s">
        <v>27</v>
      </c>
      <c r="D11" s="76" t="s">
        <v>28</v>
      </c>
      <c r="E11" s="22">
        <v>0.15</v>
      </c>
      <c r="F11" s="23">
        <f>IF($D11&lt;&gt;"",IF($D11="&gt;100K $",10,IF($D11="10K $ - 100K $",8,IF($D11="&lt;10K $",4,0))),"")</f>
        <v>0</v>
      </c>
      <c r="G11" s="23">
        <f t="shared" si="0"/>
        <v>0</v>
      </c>
      <c r="J11" s="58"/>
      <c r="K11" s="25"/>
      <c r="L11" s="25"/>
      <c r="M11" s="25"/>
      <c r="N11" s="25"/>
      <c r="P11" s="58"/>
      <c r="Q11" s="57"/>
    </row>
    <row r="12" spans="2:17">
      <c r="B12" s="118"/>
      <c r="C12" s="17" t="s">
        <v>29</v>
      </c>
      <c r="D12" s="24" t="s">
        <v>30</v>
      </c>
      <c r="E12" s="22">
        <v>0.1</v>
      </c>
      <c r="F12" s="23">
        <f>IF($D12&lt;&gt;"",IF($D12="Ongoing",10,IF($D12="Imminent",6,0)),"")</f>
        <v>10</v>
      </c>
      <c r="G12" s="23">
        <f t="shared" si="0"/>
        <v>1</v>
      </c>
      <c r="J12" s="58"/>
      <c r="L12" s="98"/>
      <c r="M12" s="98"/>
      <c r="N12" s="98"/>
      <c r="P12" s="58"/>
      <c r="Q12" s="57"/>
    </row>
    <row r="13" spans="2:17">
      <c r="B13" s="119"/>
      <c r="C13" s="79"/>
      <c r="D13" s="24" t="s">
        <v>31</v>
      </c>
      <c r="E13" s="22"/>
      <c r="F13" s="23"/>
      <c r="G13" s="23"/>
      <c r="J13" s="58"/>
      <c r="K13" s="96"/>
      <c r="L13" s="97"/>
      <c r="M13" s="97"/>
      <c r="N13" s="97"/>
      <c r="P13" s="58"/>
      <c r="Q13" s="57"/>
    </row>
    <row r="14" spans="2:17" ht="15">
      <c r="B14" s="6"/>
      <c r="C14" s="28" t="s">
        <v>10</v>
      </c>
      <c r="D14" s="29" t="str">
        <f>IF(G14&gt;7,"High",IF(G14&gt;=5.3,"Medium","Low"))</f>
        <v>Low</v>
      </c>
      <c r="E14" s="30" t="s">
        <v>32</v>
      </c>
      <c r="F14" s="30"/>
      <c r="G14" s="33">
        <f>SUM(G6:G12)</f>
        <v>3.7</v>
      </c>
      <c r="I14" s="60"/>
      <c r="J14" s="58"/>
      <c r="K14" s="97"/>
      <c r="L14" s="97"/>
      <c r="M14" s="97"/>
      <c r="N14" s="97"/>
      <c r="P14" s="58"/>
      <c r="Q14" s="57"/>
    </row>
    <row r="15" spans="2:17">
      <c r="B15" s="45"/>
      <c r="C15" s="46"/>
      <c r="D15" s="46"/>
      <c r="E15" s="46"/>
      <c r="F15" s="46"/>
      <c r="G15" s="47"/>
      <c r="J15" s="58"/>
      <c r="K15" s="97"/>
      <c r="L15" s="97"/>
      <c r="M15" s="97"/>
      <c r="N15" s="97"/>
      <c r="P15" s="58"/>
      <c r="Q15" s="57"/>
    </row>
    <row r="16" spans="2:17" ht="15.6" customHeight="1">
      <c r="C16" s="28" t="s">
        <v>2</v>
      </c>
      <c r="D16" s="28" t="s">
        <v>3</v>
      </c>
      <c r="E16" s="28" t="s">
        <v>4</v>
      </c>
      <c r="F16" s="28" t="s">
        <v>5</v>
      </c>
      <c r="G16" s="28" t="s">
        <v>6</v>
      </c>
      <c r="J16" s="58"/>
      <c r="K16" s="97"/>
      <c r="L16" s="97"/>
      <c r="M16" s="97"/>
      <c r="N16" s="97"/>
      <c r="P16" s="58"/>
      <c r="Q16" s="57"/>
    </row>
    <row r="17" spans="2:17">
      <c r="B17" s="117" t="s">
        <v>33</v>
      </c>
      <c r="C17" s="17" t="s">
        <v>34</v>
      </c>
      <c r="D17" s="24" t="s">
        <v>35</v>
      </c>
      <c r="E17" s="22">
        <v>0.25</v>
      </c>
      <c r="F17" s="23">
        <f>IF($D17&lt;&gt;"",IF($D17="Yes",1,IF($D17="No",0,0)),"")</f>
        <v>1</v>
      </c>
      <c r="G17" s="23">
        <f>IF($F17&lt;&gt;"",E17*F17,0)</f>
        <v>0.25</v>
      </c>
      <c r="I17" s="60"/>
      <c r="J17" s="58"/>
      <c r="P17" s="58"/>
      <c r="Q17" s="57"/>
    </row>
    <row r="18" spans="2:17">
      <c r="B18" s="118"/>
      <c r="C18" s="17" t="s">
        <v>36</v>
      </c>
      <c r="D18" s="24" t="s">
        <v>35</v>
      </c>
      <c r="E18" s="22">
        <v>0.15</v>
      </c>
      <c r="F18" s="23">
        <f>IF($D18&lt;&gt;"",IF($D18="Yes",1,0),"")</f>
        <v>1</v>
      </c>
      <c r="G18" s="23">
        <f>IF($F18&lt;&gt;"",E18*F18,0)</f>
        <v>0.15</v>
      </c>
      <c r="J18" s="58"/>
      <c r="K18" s="58"/>
      <c r="L18" s="58"/>
      <c r="M18" s="58"/>
      <c r="N18" s="58"/>
      <c r="P18" s="58"/>
      <c r="Q18" s="57"/>
    </row>
    <row r="19" spans="2:17">
      <c r="B19" s="118"/>
      <c r="C19" s="17" t="s">
        <v>37</v>
      </c>
      <c r="D19" s="24" t="s">
        <v>38</v>
      </c>
      <c r="E19" s="22">
        <v>0.1</v>
      </c>
      <c r="F19" s="23">
        <f>IF($D19&lt;&gt;"",IF($D19="Yes",1,0),"")</f>
        <v>0</v>
      </c>
      <c r="G19" s="23">
        <f t="shared" ref="G19:G21" si="1">IF($F19&lt;&gt;"",E19*F19,0)</f>
        <v>0</v>
      </c>
      <c r="J19" s="58"/>
      <c r="K19" s="58"/>
      <c r="L19" s="58"/>
      <c r="M19" s="58"/>
      <c r="N19" s="58"/>
      <c r="P19" s="58"/>
      <c r="Q19" s="57"/>
    </row>
    <row r="20" spans="2:17">
      <c r="B20" s="118"/>
      <c r="C20" s="17" t="s">
        <v>39</v>
      </c>
      <c r="D20" s="24" t="s">
        <v>38</v>
      </c>
      <c r="E20" s="22">
        <v>0.25</v>
      </c>
      <c r="F20" s="23">
        <f>IF($D20&lt;&gt;"",IF($D20="Yes",1,0),"")</f>
        <v>0</v>
      </c>
      <c r="G20" s="23">
        <f t="shared" si="1"/>
        <v>0</v>
      </c>
      <c r="J20" s="58"/>
      <c r="K20" s="58"/>
      <c r="L20" s="58"/>
      <c r="M20" s="58"/>
      <c r="N20" s="58"/>
    </row>
    <row r="21" spans="2:17">
      <c r="B21" s="119"/>
      <c r="C21" s="17" t="s">
        <v>40</v>
      </c>
      <c r="D21" s="24" t="s">
        <v>38</v>
      </c>
      <c r="E21" s="22">
        <v>0.25</v>
      </c>
      <c r="F21" s="23">
        <f>IF($D21&lt;&gt;"",IF($D21="Yes",0,IF($D21="No",1,0)),"")</f>
        <v>1</v>
      </c>
      <c r="G21" s="23">
        <f t="shared" si="1"/>
        <v>0.25</v>
      </c>
      <c r="J21" s="58"/>
      <c r="K21" s="58"/>
      <c r="L21" s="58"/>
      <c r="M21" s="58"/>
      <c r="N21" s="58"/>
    </row>
    <row r="22" spans="2:17" ht="15">
      <c r="B22" s="6"/>
      <c r="C22" s="28" t="s">
        <v>13</v>
      </c>
      <c r="D22" s="29" t="str">
        <f>IF(G22&gt;=0.7,"High",IF(G22&gt;=0.4,"Medium","Low"))</f>
        <v>Medium</v>
      </c>
      <c r="E22" s="30" t="s">
        <v>32</v>
      </c>
      <c r="F22" s="48"/>
      <c r="G22" s="33">
        <f>SUM(G17:G21)</f>
        <v>0.65</v>
      </c>
      <c r="J22" s="58"/>
      <c r="K22" s="58"/>
      <c r="L22" s="58"/>
      <c r="M22" s="58"/>
      <c r="N22" s="58"/>
      <c r="P22" s="58"/>
      <c r="Q22" s="57"/>
    </row>
    <row r="23" spans="2:17" ht="15" customHeight="1">
      <c r="B23" s="120"/>
      <c r="C23" s="121"/>
      <c r="D23" s="121"/>
      <c r="E23" s="121"/>
      <c r="F23" s="121"/>
      <c r="G23" s="122"/>
      <c r="P23" s="58"/>
      <c r="Q23" s="57"/>
    </row>
    <row r="24" spans="2:17">
      <c r="B24" s="101" t="s">
        <v>41</v>
      </c>
      <c r="C24" s="101"/>
      <c r="D24" s="101"/>
      <c r="E24" s="101"/>
      <c r="F24" s="101"/>
      <c r="G24" s="101"/>
    </row>
    <row r="25" spans="2:17">
      <c r="B25" s="34" t="s">
        <v>42</v>
      </c>
      <c r="C25" s="82"/>
      <c r="D25" s="81" t="s">
        <v>43</v>
      </c>
      <c r="E25" s="115"/>
      <c r="F25" s="116"/>
      <c r="G25" s="116"/>
      <c r="P25" s="58"/>
      <c r="Q25" s="57"/>
    </row>
    <row r="26" spans="2:17" ht="14.45" customHeight="1">
      <c r="B26" s="101" t="s">
        <v>44</v>
      </c>
      <c r="C26" s="103" t="s">
        <v>45</v>
      </c>
      <c r="D26" s="104"/>
      <c r="E26" s="104"/>
      <c r="F26" s="104"/>
      <c r="G26" s="105"/>
      <c r="P26" s="58"/>
      <c r="Q26" s="57"/>
    </row>
    <row r="27" spans="2:17" ht="15" customHeight="1">
      <c r="B27" s="101"/>
      <c r="C27" s="106"/>
      <c r="D27" s="107"/>
      <c r="E27" s="107"/>
      <c r="F27" s="107"/>
      <c r="G27" s="108"/>
      <c r="P27" s="58"/>
      <c r="Q27" s="57"/>
    </row>
    <row r="28" spans="2:17" ht="15" customHeight="1">
      <c r="B28" s="101"/>
      <c r="C28" s="109"/>
      <c r="D28" s="110"/>
      <c r="E28" s="110"/>
      <c r="F28" s="110"/>
      <c r="G28" s="111"/>
    </row>
    <row r="29" spans="2:17" ht="15" customHeight="1">
      <c r="B29" s="101"/>
      <c r="C29" s="109"/>
      <c r="D29" s="110"/>
      <c r="E29" s="110"/>
      <c r="F29" s="110"/>
      <c r="G29" s="111"/>
      <c r="P29" s="49"/>
      <c r="Q29" s="57"/>
    </row>
    <row r="30" spans="2:17" ht="15" customHeight="1">
      <c r="B30" s="101"/>
      <c r="C30" s="112"/>
      <c r="D30" s="113"/>
      <c r="E30" s="113"/>
      <c r="F30" s="113"/>
      <c r="G30" s="114"/>
      <c r="P30" s="49"/>
      <c r="Q30" s="57"/>
    </row>
    <row r="31" spans="2:17">
      <c r="B31" s="101" t="s">
        <v>46</v>
      </c>
      <c r="C31" s="102"/>
      <c r="D31" s="102"/>
      <c r="E31" s="102"/>
      <c r="F31" s="102"/>
      <c r="G31" s="102"/>
      <c r="P31" s="49"/>
      <c r="Q31" s="57"/>
    </row>
    <row r="32" spans="2:17">
      <c r="B32" s="101"/>
      <c r="C32" s="102"/>
      <c r="D32" s="102"/>
      <c r="E32" s="102"/>
      <c r="F32" s="102"/>
      <c r="G32" s="102"/>
    </row>
    <row r="33" spans="2:17">
      <c r="B33" s="101"/>
      <c r="C33" s="102"/>
      <c r="D33" s="102"/>
      <c r="E33" s="102"/>
      <c r="F33" s="102"/>
      <c r="G33" s="102"/>
      <c r="P33" s="58"/>
      <c r="Q33" s="57"/>
    </row>
    <row r="34" spans="2:17">
      <c r="B34" s="101"/>
      <c r="C34" s="102"/>
      <c r="D34" s="102"/>
      <c r="E34" s="102"/>
      <c r="F34" s="102"/>
      <c r="G34" s="102"/>
      <c r="P34" s="58"/>
      <c r="Q34" s="57"/>
    </row>
    <row r="35" spans="2:17">
      <c r="B35" s="101"/>
      <c r="C35" s="102"/>
      <c r="D35" s="102"/>
      <c r="E35" s="102"/>
      <c r="F35" s="102"/>
      <c r="G35" s="102"/>
      <c r="P35" s="58"/>
      <c r="Q35" s="57"/>
    </row>
    <row r="36" spans="2:17">
      <c r="B36" s="101"/>
      <c r="C36" s="102"/>
      <c r="D36" s="102"/>
      <c r="E36" s="102"/>
      <c r="F36" s="102"/>
      <c r="G36" s="102"/>
    </row>
    <row r="37" spans="2:17">
      <c r="P37" s="58"/>
      <c r="Q37" s="57"/>
    </row>
    <row r="38" spans="2:17">
      <c r="P38" s="58"/>
      <c r="Q38" s="57"/>
    </row>
    <row r="39" spans="2:17">
      <c r="P39" s="58"/>
      <c r="Q39" s="57"/>
    </row>
    <row r="40" spans="2:17">
      <c r="P40" s="58"/>
      <c r="Q40" s="57"/>
    </row>
    <row r="42" spans="2:17">
      <c r="Q42" s="57"/>
    </row>
    <row r="43" spans="2:17">
      <c r="Q43" s="57"/>
    </row>
    <row r="44" spans="2:17">
      <c r="Q44" s="57"/>
    </row>
  </sheetData>
  <mergeCells count="12">
    <mergeCell ref="L12:N12"/>
    <mergeCell ref="L6:N6"/>
    <mergeCell ref="B31:B36"/>
    <mergeCell ref="C31:G36"/>
    <mergeCell ref="B26:B30"/>
    <mergeCell ref="C26:G26"/>
    <mergeCell ref="C27:G30"/>
    <mergeCell ref="E25:G25"/>
    <mergeCell ref="B6:B13"/>
    <mergeCell ref="B17:B21"/>
    <mergeCell ref="B23:G23"/>
    <mergeCell ref="B24:G24"/>
  </mergeCells>
  <conditionalFormatting sqref="C2">
    <cfRule type="containsText" dxfId="28" priority="10" operator="containsText" text="Medium">
      <formula>NOT(ISERROR(SEARCH("Medium",C2)))</formula>
    </cfRule>
  </conditionalFormatting>
  <conditionalFormatting sqref="C2:D2">
    <cfRule type="containsText" dxfId="27" priority="17" operator="containsText" text="Low">
      <formula>NOT(ISERROR(SEARCH("Low",C2)))</formula>
    </cfRule>
    <cfRule type="containsText" dxfId="26" priority="18" operator="containsText" text="Moderate">
      <formula>NOT(ISERROR(SEARCH("Moderate",C2)))</formula>
    </cfRule>
    <cfRule type="containsText" dxfId="25" priority="19" operator="containsText" text="High">
      <formula>NOT(ISERROR(SEARCH("High",C2)))</formula>
    </cfRule>
    <cfRule type="containsText" dxfId="24" priority="20" operator="containsText" text="Critical">
      <formula>NOT(ISERROR(SEARCH("Critical",C2)))</formula>
    </cfRule>
  </conditionalFormatting>
  <conditionalFormatting sqref="D2">
    <cfRule type="cellIs" dxfId="23" priority="11" operator="equal">
      <formula>3</formula>
    </cfRule>
    <cfRule type="cellIs" dxfId="22" priority="12" operator="equal">
      <formula>4</formula>
    </cfRule>
    <cfRule type="cellIs" dxfId="21" priority="13" operator="equal">
      <formula>4</formula>
    </cfRule>
    <cfRule type="cellIs" dxfId="20" priority="14" operator="equal">
      <formula>4</formula>
    </cfRule>
    <cfRule type="cellIs" dxfId="19" priority="15" operator="equal">
      <formula>2</formula>
    </cfRule>
    <cfRule type="cellIs" dxfId="18" priority="16" operator="equal">
      <formula>1</formula>
    </cfRule>
  </conditionalFormatting>
  <conditionalFormatting sqref="D14">
    <cfRule type="containsText" dxfId="17" priority="31" operator="containsText" text="Low">
      <formula>NOT(ISERROR(SEARCH("Low",D14)))</formula>
    </cfRule>
    <cfRule type="containsText" dxfId="16" priority="32" operator="containsText" text="Medium">
      <formula>NOT(ISERROR(SEARCH("Medium",D14)))</formula>
    </cfRule>
    <cfRule type="containsText" dxfId="15" priority="33" operator="containsText" text="High">
      <formula>NOT(ISERROR(SEARCH("High",D14)))</formula>
    </cfRule>
  </conditionalFormatting>
  <conditionalFormatting sqref="D22">
    <cfRule type="containsText" dxfId="14" priority="1" operator="containsText" text="Low">
      <formula>NOT(ISERROR(SEARCH("Low",D22)))</formula>
    </cfRule>
    <cfRule type="containsText" dxfId="13" priority="2" operator="containsText" text="Medium">
      <formula>NOT(ISERROR(SEARCH("Medium",D22)))</formula>
    </cfRule>
    <cfRule type="containsText" dxfId="12" priority="3" operator="containsText" text="High">
      <formula>NOT(ISERROR(SEARCH("High",D22)))</formula>
    </cfRule>
  </conditionalFormatting>
  <conditionalFormatting sqref="D25">
    <cfRule type="containsText" dxfId="11" priority="25" operator="containsText" text="Low">
      <formula>NOT(ISERROR(SEARCH("Low",D25)))</formula>
    </cfRule>
    <cfRule type="containsText" dxfId="10" priority="26" operator="containsText" text="Medium">
      <formula>NOT(ISERROR(SEARCH("Medium",D25)))</formula>
    </cfRule>
    <cfRule type="containsText" dxfId="9" priority="27" operator="containsText" text="High">
      <formula>NOT(ISERROR(SEARCH("High",D25)))</formula>
    </cfRule>
    <cfRule type="expression" dxfId="8" priority="28">
      <formula>"Low"</formula>
    </cfRule>
    <cfRule type="expression" dxfId="7" priority="29">
      <formula>"Medium"</formula>
    </cfRule>
    <cfRule type="containsText" dxfId="6" priority="30" operator="containsText" text="High">
      <formula>NOT(ISERROR(SEARCH("High",D25)))</formula>
    </cfRule>
  </conditionalFormatting>
  <dataValidations count="10">
    <dataValidation type="list" allowBlank="1" showInputMessage="1" showErrorMessage="1" sqref="D12" xr:uid="{F28C92F8-3853-4C4C-806C-7803D2027950}">
      <formula1>"Ongoing, Imminent, Potential"</formula1>
    </dataValidation>
    <dataValidation type="list" allowBlank="1" showInputMessage="1" showErrorMessage="1" sqref="D17:D21" xr:uid="{21D09F82-4C2B-4FA5-8103-7A33C2A0852E}">
      <formula1>"Yes, No"</formula1>
    </dataValidation>
    <dataValidation type="list" allowBlank="1" showInputMessage="1" showErrorMessage="1" sqref="D8" xr:uid="{D4A5EACC-9A0E-4EA1-9351-6A393A1990FB}">
      <formula1>"Gold / Critical, Silver / High, Bronze / Medium, No Select  / Low"</formula1>
    </dataValidation>
    <dataValidation type="list" allowBlank="1" showInputMessage="1" showErrorMessage="1" sqref="D10" xr:uid="{AA820677-BE19-4FCB-96CF-C06678D3A29D}">
      <formula1>"Service Level Commitment, Delivery Schedule, Potential,Revenue"</formula1>
    </dataValidation>
    <dataValidation type="list" allowBlank="1" showInputMessage="1" showErrorMessage="1" sqref="D6" xr:uid="{9F0A574D-4CCB-4084-9FC3-996C5F6B4CDB}">
      <formula1>"MFG - Production, Datacenter, R&amp;D, Ware House, Admin/Sales/Commercial Office, No Select"</formula1>
    </dataValidation>
    <dataValidation type="list" allowBlank="1" showInputMessage="1" showErrorMessage="1" sqref="D11" xr:uid="{AD2F515A-4DAA-4AA1-9E7F-F556AE0F7C5C}">
      <formula1>" &gt;100K $, 10K $ - 100K $, &lt;10K $, No Impact"</formula1>
    </dataValidation>
    <dataValidation type="list" allowBlank="1" showInputMessage="1" showErrorMessage="1" sqref="D9" xr:uid="{2A625067-9C6C-4B41-BBC2-8C19B62C8EFA}">
      <formula1>"Single, Multiple, Global"</formula1>
    </dataValidation>
    <dataValidation type="list" allowBlank="1" showInputMessage="1" showErrorMessage="1" sqref="D7" xr:uid="{2CC1DD55-3CF2-4D9A-B98F-9EC7811840F4}">
      <formula1>"&gt;150, 10-150, &lt;10, Potential - 0"</formula1>
    </dataValidation>
    <dataValidation type="list" allowBlank="1" showInputMessage="1" showErrorMessage="1" sqref="D13" xr:uid="{894B482B-B473-44C1-9050-C595EE014472}">
      <formula1>"Complete, Partial, Potential"</formula1>
    </dataValidation>
    <dataValidation type="list" allowBlank="1" showInputMessage="1" showErrorMessage="1" sqref="C26" xr:uid="{46428023-FDFE-409F-AEBD-A0A93E018D5A}">
      <formula1>"Downgraded, Upgraded"</formula1>
    </dataValidation>
  </dataValidations>
  <pageMargins left="0.7" right="0.7" top="0.75" bottom="0.75" header="0.3" footer="0.3"/>
  <pageSetup paperSize="9" orientation="portrait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B935-7537-47BE-A4F1-933CB38686C2}">
  <dimension ref="B2:J40"/>
  <sheetViews>
    <sheetView showGridLines="0" workbookViewId="0">
      <selection activeCell="G31" sqref="G31"/>
    </sheetView>
  </sheetViews>
  <sheetFormatPr defaultColWidth="8.85546875" defaultRowHeight="14.1"/>
  <cols>
    <col min="1" max="1" width="11.140625" style="25" customWidth="1"/>
    <col min="2" max="2" width="29" style="25" bestFit="1" customWidth="1"/>
    <col min="3" max="3" width="24.140625" style="25" bestFit="1" customWidth="1"/>
    <col min="4" max="4" width="6.85546875" style="25" customWidth="1"/>
    <col min="5" max="5" width="5.140625" style="25" bestFit="1" customWidth="1"/>
    <col min="6" max="6" width="3.5703125" style="25" customWidth="1"/>
    <col min="7" max="7" width="27.85546875" style="25" bestFit="1" customWidth="1"/>
    <col min="8" max="8" width="15.140625" style="25" bestFit="1" customWidth="1"/>
    <col min="9" max="9" width="5.140625" style="25" bestFit="1" customWidth="1"/>
    <col min="10" max="16384" width="8.85546875" style="25"/>
  </cols>
  <sheetData>
    <row r="2" spans="2:10" s="54" customFormat="1" ht="15.6" customHeight="1" thickBot="1">
      <c r="B2" s="123" t="s">
        <v>47</v>
      </c>
      <c r="C2" s="124"/>
      <c r="D2" s="124"/>
      <c r="E2" s="124"/>
      <c r="G2" s="123" t="s">
        <v>48</v>
      </c>
      <c r="H2" s="124"/>
      <c r="I2" s="124"/>
      <c r="J2" s="124"/>
    </row>
    <row r="3" spans="2:10" s="50" customFormat="1">
      <c r="B3" s="53" t="s">
        <v>2</v>
      </c>
      <c r="C3" s="52" t="s">
        <v>3</v>
      </c>
      <c r="D3" s="51" t="s">
        <v>5</v>
      </c>
      <c r="E3" s="51" t="s">
        <v>6</v>
      </c>
      <c r="G3" s="53" t="s">
        <v>2</v>
      </c>
      <c r="H3" s="52" t="s">
        <v>3</v>
      </c>
      <c r="I3" s="51" t="s">
        <v>5</v>
      </c>
      <c r="J3" s="51" t="s">
        <v>6</v>
      </c>
    </row>
    <row r="4" spans="2:10" ht="15">
      <c r="B4" s="86" t="s">
        <v>8</v>
      </c>
      <c r="C4" s="87" t="s">
        <v>49</v>
      </c>
      <c r="D4" s="88">
        <v>10</v>
      </c>
      <c r="E4" s="84">
        <v>2</v>
      </c>
      <c r="G4" s="83" t="s">
        <v>34</v>
      </c>
      <c r="H4" s="30" t="s">
        <v>35</v>
      </c>
      <c r="I4" s="83">
        <v>1</v>
      </c>
      <c r="J4" s="30">
        <v>0.25</v>
      </c>
    </row>
    <row r="5" spans="2:10" ht="15">
      <c r="B5" s="89"/>
      <c r="C5" s="87" t="s">
        <v>50</v>
      </c>
      <c r="D5" s="88">
        <v>10</v>
      </c>
      <c r="E5" s="84">
        <v>2</v>
      </c>
      <c r="G5" s="83"/>
      <c r="H5" s="30" t="s">
        <v>38</v>
      </c>
      <c r="I5" s="83">
        <v>0</v>
      </c>
      <c r="J5" s="30">
        <v>0</v>
      </c>
    </row>
    <row r="6" spans="2:10" ht="15">
      <c r="B6" s="89"/>
      <c r="C6" s="87" t="s">
        <v>51</v>
      </c>
      <c r="D6" s="88">
        <v>8</v>
      </c>
      <c r="E6" s="84">
        <v>1.6</v>
      </c>
      <c r="G6" s="83"/>
      <c r="H6" s="30"/>
      <c r="I6" s="83"/>
      <c r="J6" s="30"/>
    </row>
    <row r="7" spans="2:10" ht="15">
      <c r="B7" s="89"/>
      <c r="C7" s="87" t="s">
        <v>52</v>
      </c>
      <c r="D7" s="88">
        <v>6</v>
      </c>
      <c r="E7" s="84">
        <v>1.2</v>
      </c>
      <c r="G7" s="84"/>
      <c r="H7" s="30"/>
      <c r="I7" s="30"/>
      <c r="J7" s="84"/>
    </row>
    <row r="8" spans="2:10" ht="27.95">
      <c r="B8" s="89"/>
      <c r="C8" s="87" t="s">
        <v>53</v>
      </c>
      <c r="D8" s="88">
        <v>4</v>
      </c>
      <c r="E8" s="84">
        <v>0.8</v>
      </c>
      <c r="G8" s="85" t="s">
        <v>36</v>
      </c>
      <c r="H8" s="30" t="s">
        <v>35</v>
      </c>
      <c r="I8" s="83">
        <v>1</v>
      </c>
      <c r="J8" s="30">
        <v>0.15</v>
      </c>
    </row>
    <row r="9" spans="2:10" ht="15">
      <c r="B9" s="89"/>
      <c r="C9" s="87" t="s">
        <v>9</v>
      </c>
      <c r="D9" s="88">
        <v>0</v>
      </c>
      <c r="E9" s="84">
        <v>0</v>
      </c>
      <c r="G9" s="85"/>
      <c r="H9" s="30" t="s">
        <v>38</v>
      </c>
      <c r="I9" s="83">
        <v>0</v>
      </c>
      <c r="J9" s="30">
        <v>0</v>
      </c>
    </row>
    <row r="10" spans="2:10" ht="15">
      <c r="B10" s="89"/>
      <c r="C10" s="90"/>
      <c r="D10" s="91"/>
      <c r="E10" s="84"/>
      <c r="G10" s="83"/>
      <c r="H10" s="83"/>
      <c r="I10" s="83"/>
      <c r="J10" s="30"/>
    </row>
    <row r="11" spans="2:10" ht="15">
      <c r="B11" s="86" t="s">
        <v>11</v>
      </c>
      <c r="C11" s="87" t="s">
        <v>54</v>
      </c>
      <c r="D11" s="88">
        <v>10</v>
      </c>
      <c r="E11" s="84">
        <v>1</v>
      </c>
      <c r="G11" s="126" t="s">
        <v>37</v>
      </c>
      <c r="H11" s="30" t="s">
        <v>35</v>
      </c>
      <c r="I11" s="83">
        <v>1</v>
      </c>
      <c r="J11" s="30">
        <v>0.1</v>
      </c>
    </row>
    <row r="12" spans="2:10" ht="15">
      <c r="B12" s="89"/>
      <c r="C12" s="87" t="s">
        <v>55</v>
      </c>
      <c r="D12" s="88">
        <v>6</v>
      </c>
      <c r="E12" s="84">
        <v>0.6</v>
      </c>
      <c r="G12" s="126"/>
      <c r="H12" s="30" t="s">
        <v>38</v>
      </c>
      <c r="I12" s="83">
        <v>0</v>
      </c>
      <c r="J12" s="30">
        <v>0</v>
      </c>
    </row>
    <row r="13" spans="2:10" ht="15">
      <c r="B13" s="89"/>
      <c r="C13" s="87" t="s">
        <v>56</v>
      </c>
      <c r="D13" s="88">
        <v>2</v>
      </c>
      <c r="E13" s="84">
        <v>0.2</v>
      </c>
      <c r="G13" s="83"/>
      <c r="H13" s="30"/>
      <c r="I13" s="83"/>
      <c r="J13" s="30"/>
    </row>
    <row r="14" spans="2:10" ht="15">
      <c r="B14" s="89"/>
      <c r="C14" s="87" t="s">
        <v>57</v>
      </c>
      <c r="D14" s="88">
        <v>0</v>
      </c>
      <c r="E14" s="84">
        <v>0</v>
      </c>
      <c r="G14" s="125" t="s">
        <v>39</v>
      </c>
      <c r="H14" s="30" t="s">
        <v>35</v>
      </c>
      <c r="I14" s="83">
        <v>1</v>
      </c>
      <c r="J14" s="30">
        <v>0.25</v>
      </c>
    </row>
    <row r="15" spans="2:10" ht="15">
      <c r="B15" s="89"/>
      <c r="C15" s="90"/>
      <c r="D15" s="91"/>
      <c r="E15" s="84"/>
      <c r="G15" s="125"/>
      <c r="H15" s="30" t="s">
        <v>38</v>
      </c>
      <c r="I15" s="83">
        <v>0</v>
      </c>
      <c r="J15" s="30">
        <v>0</v>
      </c>
    </row>
    <row r="16" spans="2:10" ht="15">
      <c r="B16" s="92" t="s">
        <v>17</v>
      </c>
      <c r="C16" s="87" t="s">
        <v>58</v>
      </c>
      <c r="D16" s="88">
        <v>10</v>
      </c>
      <c r="E16" s="84">
        <v>1.5</v>
      </c>
      <c r="G16" s="84"/>
      <c r="H16" s="84"/>
      <c r="I16" s="84"/>
      <c r="J16" s="84"/>
    </row>
    <row r="17" spans="2:10" ht="15">
      <c r="B17" s="89"/>
      <c r="C17" s="87" t="s">
        <v>59</v>
      </c>
      <c r="D17" s="88">
        <v>8</v>
      </c>
      <c r="E17" s="84">
        <v>1.2</v>
      </c>
      <c r="G17" s="115" t="s">
        <v>40</v>
      </c>
      <c r="H17" s="30" t="s">
        <v>38</v>
      </c>
      <c r="I17" s="30">
        <v>1</v>
      </c>
      <c r="J17" s="30">
        <v>0.25</v>
      </c>
    </row>
    <row r="18" spans="2:10" ht="15">
      <c r="B18" s="89"/>
      <c r="C18" s="87" t="s">
        <v>60</v>
      </c>
      <c r="D18" s="88">
        <v>6</v>
      </c>
      <c r="E18" s="84">
        <v>0.9</v>
      </c>
      <c r="G18" s="115"/>
      <c r="H18" s="30" t="s">
        <v>35</v>
      </c>
      <c r="I18" s="30">
        <v>0</v>
      </c>
      <c r="J18" s="30">
        <v>0</v>
      </c>
    </row>
    <row r="19" spans="2:10" ht="15">
      <c r="B19" s="89"/>
      <c r="C19" s="87" t="s">
        <v>61</v>
      </c>
      <c r="D19" s="88">
        <v>2</v>
      </c>
      <c r="E19" s="84">
        <v>0.3</v>
      </c>
    </row>
    <row r="20" spans="2:10" ht="15">
      <c r="B20" s="89"/>
      <c r="C20" s="90"/>
      <c r="D20" s="91"/>
      <c r="E20" s="84"/>
    </row>
    <row r="21" spans="2:10" ht="15">
      <c r="B21" s="89"/>
      <c r="C21" s="90"/>
      <c r="D21" s="91"/>
      <c r="E21" s="84"/>
    </row>
    <row r="22" spans="2:10" ht="15">
      <c r="B22" s="93" t="s">
        <v>22</v>
      </c>
      <c r="C22" s="87" t="s">
        <v>23</v>
      </c>
      <c r="D22" s="88">
        <v>4</v>
      </c>
      <c r="E22" s="84">
        <v>0.6</v>
      </c>
    </row>
    <row r="23" spans="2:10" ht="15">
      <c r="B23" s="89"/>
      <c r="C23" s="87" t="s">
        <v>62</v>
      </c>
      <c r="D23" s="88">
        <v>8</v>
      </c>
      <c r="E23" s="84">
        <v>1.2</v>
      </c>
    </row>
    <row r="24" spans="2:10" ht="15">
      <c r="B24" s="89"/>
      <c r="C24" s="87" t="s">
        <v>63</v>
      </c>
      <c r="D24" s="94">
        <f ca="1">IF($D24&lt;&gt;"",IF($D24="Global",10,IF($D24="Multiple",8,IF($D24="Single",6,0))),"")</f>
        <v>10</v>
      </c>
      <c r="E24" s="95">
        <v>1.5</v>
      </c>
      <c r="F24" s="71"/>
    </row>
    <row r="25" spans="2:10" ht="15">
      <c r="B25" s="89"/>
      <c r="C25" s="90"/>
      <c r="D25" s="91"/>
      <c r="E25" s="84"/>
    </row>
    <row r="26" spans="2:10" ht="15">
      <c r="B26" s="93" t="s">
        <v>25</v>
      </c>
      <c r="C26" s="87" t="s">
        <v>64</v>
      </c>
      <c r="D26" s="88">
        <v>8</v>
      </c>
      <c r="E26" s="84">
        <v>1.2</v>
      </c>
    </row>
    <row r="27" spans="2:10" ht="15">
      <c r="B27" s="89"/>
      <c r="C27" s="87" t="s">
        <v>26</v>
      </c>
      <c r="D27" s="88">
        <v>4</v>
      </c>
      <c r="E27" s="84">
        <v>0.6</v>
      </c>
    </row>
    <row r="28" spans="2:10" ht="15">
      <c r="B28" s="89"/>
      <c r="C28" s="87" t="s">
        <v>31</v>
      </c>
      <c r="D28" s="88">
        <v>0</v>
      </c>
      <c r="E28" s="84">
        <v>0</v>
      </c>
    </row>
    <row r="29" spans="2:10" ht="15">
      <c r="B29" s="89"/>
      <c r="C29" s="87" t="s">
        <v>65</v>
      </c>
      <c r="D29" s="88">
        <v>10</v>
      </c>
      <c r="E29" s="84">
        <v>1.5</v>
      </c>
    </row>
    <row r="30" spans="2:10" ht="15">
      <c r="B30" s="89"/>
      <c r="C30" s="90"/>
      <c r="D30" s="91"/>
      <c r="E30" s="84"/>
    </row>
    <row r="31" spans="2:10" ht="15">
      <c r="B31" s="93" t="s">
        <v>66</v>
      </c>
      <c r="C31" s="87" t="s">
        <v>67</v>
      </c>
      <c r="D31" s="88">
        <v>10</v>
      </c>
      <c r="E31" s="84">
        <v>1.5</v>
      </c>
    </row>
    <row r="32" spans="2:10" ht="15">
      <c r="B32" s="89"/>
      <c r="C32" s="87" t="s">
        <v>68</v>
      </c>
      <c r="D32" s="88">
        <v>8</v>
      </c>
      <c r="E32" s="84">
        <v>1.2</v>
      </c>
    </row>
    <row r="33" spans="2:5" ht="15">
      <c r="B33" s="89"/>
      <c r="C33" s="87" t="s">
        <v>69</v>
      </c>
      <c r="D33" s="88">
        <v>4</v>
      </c>
      <c r="E33" s="84">
        <v>0.6</v>
      </c>
    </row>
    <row r="34" spans="2:5" ht="15">
      <c r="B34" s="89"/>
      <c r="C34" s="87" t="s">
        <v>28</v>
      </c>
      <c r="D34" s="88">
        <v>0</v>
      </c>
      <c r="E34" s="84">
        <v>0</v>
      </c>
    </row>
    <row r="35" spans="2:5" ht="15">
      <c r="B35" s="59"/>
      <c r="C35" s="6"/>
      <c r="D35" s="45"/>
      <c r="E35" s="73"/>
    </row>
    <row r="36" spans="2:5" ht="15">
      <c r="B36" s="90" t="s">
        <v>29</v>
      </c>
      <c r="C36" s="90" t="s">
        <v>30</v>
      </c>
      <c r="D36" s="88">
        <v>10</v>
      </c>
      <c r="E36" s="84">
        <v>1</v>
      </c>
    </row>
    <row r="37" spans="2:5" ht="15">
      <c r="B37" s="89"/>
      <c r="C37" s="90" t="s">
        <v>70</v>
      </c>
      <c r="D37" s="88">
        <v>6</v>
      </c>
      <c r="E37" s="84">
        <v>0.6</v>
      </c>
    </row>
    <row r="38" spans="2:5" ht="15">
      <c r="B38" s="89"/>
      <c r="C38" s="90" t="s">
        <v>31</v>
      </c>
      <c r="D38" s="88">
        <v>0</v>
      </c>
      <c r="E38" s="84">
        <v>0</v>
      </c>
    </row>
    <row r="39" spans="2:5" ht="15">
      <c r="B39" s="77"/>
      <c r="C39" s="6"/>
      <c r="D39" s="72"/>
      <c r="E39" s="73"/>
    </row>
    <row r="40" spans="2:5" ht="14.45">
      <c r="B40" s="23"/>
      <c r="C40" s="49"/>
      <c r="D40" s="23"/>
      <c r="E40" s="26"/>
    </row>
  </sheetData>
  <mergeCells count="5">
    <mergeCell ref="B2:E2"/>
    <mergeCell ref="G2:J2"/>
    <mergeCell ref="G17:G18"/>
    <mergeCell ref="G14:G15"/>
    <mergeCell ref="G11:G12"/>
  </mergeCells>
  <pageMargins left="0.7" right="0.7" top="0.75" bottom="0.75" header="0.3" footer="0.3"/>
  <pageSetup paperSize="9" orientation="portrait" verticalDpi="9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A6F3-F723-4808-83A5-EBEF4FC28263}">
  <dimension ref="B1:L39"/>
  <sheetViews>
    <sheetView showGridLines="0" topLeftCell="A3" workbookViewId="0">
      <selection activeCell="D19" sqref="D19"/>
    </sheetView>
  </sheetViews>
  <sheetFormatPr defaultColWidth="8.85546875" defaultRowHeight="14.45"/>
  <cols>
    <col min="1" max="1" width="2.140625" customWidth="1"/>
    <col min="2" max="4" width="16.85546875" customWidth="1"/>
    <col min="5" max="5" width="1.140625" customWidth="1"/>
    <col min="6" max="8" width="16.85546875" customWidth="1"/>
    <col min="9" max="9" width="1" customWidth="1"/>
    <col min="10" max="12" width="16.85546875" customWidth="1"/>
    <col min="14" max="14" width="61.140625" bestFit="1" customWidth="1"/>
  </cols>
  <sheetData>
    <row r="1" spans="2:12" ht="15" thickBot="1"/>
    <row r="2" spans="2:12">
      <c r="B2" s="127" t="s">
        <v>71</v>
      </c>
      <c r="C2" s="128"/>
      <c r="D2" s="129"/>
      <c r="E2" s="56"/>
      <c r="F2" s="127" t="s">
        <v>72</v>
      </c>
      <c r="G2" s="128"/>
      <c r="H2" s="129"/>
      <c r="J2" s="127" t="s">
        <v>73</v>
      </c>
      <c r="K2" s="128"/>
      <c r="L2" s="129"/>
    </row>
    <row r="3" spans="2:12">
      <c r="B3" s="130"/>
      <c r="C3" s="131"/>
      <c r="D3" s="132"/>
      <c r="E3" s="56"/>
      <c r="F3" s="130"/>
      <c r="G3" s="131"/>
      <c r="H3" s="132"/>
      <c r="J3" s="130"/>
      <c r="K3" s="131"/>
      <c r="L3" s="132"/>
    </row>
    <row r="4" spans="2:12">
      <c r="B4" s="130"/>
      <c r="C4" s="131"/>
      <c r="D4" s="132"/>
      <c r="E4" s="56"/>
      <c r="F4" s="130"/>
      <c r="G4" s="131"/>
      <c r="H4" s="132"/>
      <c r="J4" s="130"/>
      <c r="K4" s="131"/>
      <c r="L4" s="132"/>
    </row>
    <row r="5" spans="2:12">
      <c r="B5" s="130"/>
      <c r="C5" s="131"/>
      <c r="D5" s="132"/>
      <c r="E5" s="56"/>
      <c r="F5" s="130"/>
      <c r="G5" s="131"/>
      <c r="H5" s="132"/>
      <c r="J5" s="130"/>
      <c r="K5" s="131"/>
      <c r="L5" s="132"/>
    </row>
    <row r="6" spans="2:12">
      <c r="B6" s="130"/>
      <c r="C6" s="131"/>
      <c r="D6" s="132"/>
      <c r="E6" s="56"/>
      <c r="F6" s="130"/>
      <c r="G6" s="131"/>
      <c r="H6" s="132"/>
      <c r="J6" s="130"/>
      <c r="K6" s="131"/>
      <c r="L6" s="132"/>
    </row>
    <row r="7" spans="2:12">
      <c r="B7" s="130"/>
      <c r="C7" s="131"/>
      <c r="D7" s="132"/>
      <c r="E7" s="56"/>
      <c r="F7" s="130"/>
      <c r="G7" s="131"/>
      <c r="H7" s="132"/>
      <c r="J7" s="130"/>
      <c r="K7" s="131"/>
      <c r="L7" s="132"/>
    </row>
    <row r="8" spans="2:12">
      <c r="B8" s="130"/>
      <c r="C8" s="131"/>
      <c r="D8" s="132"/>
      <c r="E8" s="56"/>
      <c r="F8" s="130"/>
      <c r="G8" s="131"/>
      <c r="H8" s="132"/>
      <c r="J8" s="130"/>
      <c r="K8" s="131"/>
      <c r="L8" s="132"/>
    </row>
    <row r="9" spans="2:12">
      <c r="B9" s="130"/>
      <c r="C9" s="131"/>
      <c r="D9" s="132"/>
      <c r="E9" s="56"/>
      <c r="F9" s="130"/>
      <c r="G9" s="131"/>
      <c r="H9" s="132"/>
      <c r="J9" s="130"/>
      <c r="K9" s="131"/>
      <c r="L9" s="132"/>
    </row>
    <row r="10" spans="2:12" ht="15" thickBot="1">
      <c r="B10" s="133"/>
      <c r="C10" s="134"/>
      <c r="D10" s="135"/>
      <c r="E10" s="56"/>
      <c r="F10" s="133"/>
      <c r="G10" s="134"/>
      <c r="H10" s="135"/>
      <c r="J10" s="133"/>
      <c r="K10" s="134"/>
      <c r="L10" s="135"/>
    </row>
    <row r="11" spans="2:12">
      <c r="B11" s="56"/>
      <c r="C11" s="56"/>
      <c r="D11" s="56"/>
      <c r="E11" s="56"/>
      <c r="F11" s="56"/>
      <c r="G11" s="56"/>
      <c r="H11" s="56"/>
      <c r="J11" s="56"/>
      <c r="K11" s="56"/>
      <c r="L11" s="56"/>
    </row>
    <row r="12" spans="2:12">
      <c r="B12" s="56"/>
      <c r="C12" s="56"/>
      <c r="D12" s="56"/>
      <c r="E12" s="56"/>
      <c r="F12" s="56"/>
      <c r="G12" s="56"/>
      <c r="H12" s="56"/>
      <c r="J12" s="56"/>
      <c r="K12" s="56"/>
      <c r="L12" s="56"/>
    </row>
    <row r="13" spans="2:12">
      <c r="B13" s="56" t="s">
        <v>45</v>
      </c>
      <c r="C13" s="55" t="s">
        <v>74</v>
      </c>
      <c r="J13" s="56" t="s">
        <v>75</v>
      </c>
      <c r="K13" s="56"/>
      <c r="L13" s="56"/>
    </row>
    <row r="14" spans="2:12">
      <c r="B14" s="56"/>
      <c r="C14" s="55"/>
      <c r="J14" s="56"/>
      <c r="K14" s="56"/>
      <c r="L14" s="56"/>
    </row>
    <row r="15" spans="2:12">
      <c r="B15" s="147" t="s">
        <v>76</v>
      </c>
      <c r="C15" s="145" t="s">
        <v>77</v>
      </c>
      <c r="D15" s="146"/>
      <c r="E15" s="146"/>
      <c r="F15" s="146"/>
      <c r="G15" s="146"/>
      <c r="H15" s="146"/>
      <c r="I15" s="146"/>
      <c r="J15" s="146"/>
    </row>
    <row r="16" spans="2:12">
      <c r="B16" s="147"/>
      <c r="C16" s="146"/>
      <c r="D16" s="146"/>
      <c r="E16" s="146"/>
      <c r="F16" s="146"/>
      <c r="G16" s="146"/>
      <c r="H16" s="146"/>
      <c r="I16" s="146"/>
      <c r="J16" s="146"/>
    </row>
    <row r="17" spans="2:10">
      <c r="B17" s="147"/>
      <c r="C17" s="146"/>
      <c r="D17" s="146"/>
      <c r="E17" s="146"/>
      <c r="F17" s="146"/>
      <c r="G17" s="146"/>
      <c r="H17" s="146"/>
      <c r="I17" s="146"/>
      <c r="J17" s="146"/>
    </row>
    <row r="19" spans="2:10">
      <c r="B19" s="56" t="s">
        <v>75</v>
      </c>
      <c r="C19" s="55" t="s">
        <v>78</v>
      </c>
    </row>
    <row r="20" spans="2:10">
      <c r="C20" s="55"/>
    </row>
    <row r="21" spans="2:10">
      <c r="C21" s="55"/>
    </row>
    <row r="22" spans="2:10">
      <c r="C22" s="55"/>
    </row>
    <row r="23" spans="2:10">
      <c r="C23" s="55"/>
    </row>
    <row r="31" spans="2:10" ht="15" thickBot="1"/>
    <row r="32" spans="2:10">
      <c r="B32" s="136" t="s">
        <v>79</v>
      </c>
      <c r="C32" s="137"/>
      <c r="D32" s="137"/>
      <c r="E32" s="137"/>
      <c r="F32" s="138"/>
    </row>
    <row r="33" spans="2:6">
      <c r="B33" s="139"/>
      <c r="C33" s="140"/>
      <c r="D33" s="140"/>
      <c r="E33" s="140"/>
      <c r="F33" s="141"/>
    </row>
    <row r="34" spans="2:6">
      <c r="B34" s="139"/>
      <c r="C34" s="140"/>
      <c r="D34" s="140"/>
      <c r="E34" s="140"/>
      <c r="F34" s="141"/>
    </row>
    <row r="35" spans="2:6">
      <c r="B35" s="139"/>
      <c r="C35" s="140"/>
      <c r="D35" s="140"/>
      <c r="E35" s="140"/>
      <c r="F35" s="141"/>
    </row>
    <row r="36" spans="2:6">
      <c r="B36" s="139"/>
      <c r="C36" s="140"/>
      <c r="D36" s="140"/>
      <c r="E36" s="140"/>
      <c r="F36" s="141"/>
    </row>
    <row r="37" spans="2:6">
      <c r="B37" s="139"/>
      <c r="C37" s="140"/>
      <c r="D37" s="140"/>
      <c r="E37" s="140"/>
      <c r="F37" s="141"/>
    </row>
    <row r="38" spans="2:6">
      <c r="B38" s="139"/>
      <c r="C38" s="140"/>
      <c r="D38" s="140"/>
      <c r="E38" s="140"/>
      <c r="F38" s="141"/>
    </row>
    <row r="39" spans="2:6" ht="15" thickBot="1">
      <c r="B39" s="142"/>
      <c r="C39" s="143"/>
      <c r="D39" s="143"/>
      <c r="E39" s="143"/>
      <c r="F39" s="144"/>
    </row>
  </sheetData>
  <mergeCells count="6">
    <mergeCell ref="B2:D10"/>
    <mergeCell ref="F2:H10"/>
    <mergeCell ref="J2:L10"/>
    <mergeCell ref="B32:F39"/>
    <mergeCell ref="C15:J17"/>
    <mergeCell ref="B15:B1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A082-01DC-4C36-91B0-7A95FFFCCABE}">
  <dimension ref="D4:H9"/>
  <sheetViews>
    <sheetView workbookViewId="0">
      <selection activeCell="G5" sqref="G5"/>
    </sheetView>
  </sheetViews>
  <sheetFormatPr defaultRowHeight="14.45"/>
  <cols>
    <col min="2" max="2" width="9.140625" customWidth="1"/>
    <col min="3" max="3" width="37.42578125" customWidth="1"/>
    <col min="4" max="4" width="11.42578125" customWidth="1"/>
    <col min="5" max="5" width="10.85546875" customWidth="1"/>
    <col min="6" max="6" width="11.42578125" customWidth="1"/>
  </cols>
  <sheetData>
    <row r="4" spans="4:8" ht="15">
      <c r="D4" s="28" t="s">
        <v>2</v>
      </c>
      <c r="E4" s="28" t="s">
        <v>3</v>
      </c>
      <c r="F4" s="28" t="s">
        <v>4</v>
      </c>
      <c r="G4" s="28" t="s">
        <v>5</v>
      </c>
      <c r="H4" s="28" t="s">
        <v>6</v>
      </c>
    </row>
    <row r="5" spans="4:8" ht="126">
      <c r="D5" s="31" t="s">
        <v>80</v>
      </c>
      <c r="E5" s="24" t="s">
        <v>35</v>
      </c>
      <c r="F5" s="22">
        <v>0.4</v>
      </c>
      <c r="G5" s="23">
        <f>IF($F5&lt;&gt;"",IF($F5="Yes",10,0),"")</f>
        <v>0</v>
      </c>
      <c r="H5" s="23">
        <f ca="1">IF($H5&lt;&gt;"",F5*G5,0)</f>
        <v>0</v>
      </c>
    </row>
    <row r="6" spans="4:8" ht="69.95">
      <c r="D6" s="31" t="s">
        <v>81</v>
      </c>
      <c r="E6" s="24" t="s">
        <v>38</v>
      </c>
      <c r="F6" s="22">
        <v>0.2</v>
      </c>
      <c r="G6" s="23">
        <f>IF($F6&lt;&gt;"",IF($F6="Yes",10,0),"")</f>
        <v>0</v>
      </c>
      <c r="H6" s="23">
        <f ca="1">IF($H6&lt;&gt;"",F6*G6,0)</f>
        <v>2</v>
      </c>
    </row>
    <row r="7" spans="4:8" ht="42">
      <c r="D7" s="32" t="s">
        <v>37</v>
      </c>
      <c r="E7" s="24" t="s">
        <v>35</v>
      </c>
      <c r="F7" s="22">
        <v>0.2</v>
      </c>
      <c r="G7" s="23">
        <f>IF($F7&lt;&gt;"",IF($F7="Yes",10,0),"")</f>
        <v>0</v>
      </c>
      <c r="H7" s="23">
        <f ca="1">IF($H7&lt;&gt;"",F7*G7,0)</f>
        <v>2</v>
      </c>
    </row>
    <row r="8" spans="4:8" ht="42">
      <c r="D8" s="31" t="s">
        <v>39</v>
      </c>
      <c r="E8" s="24" t="s">
        <v>35</v>
      </c>
      <c r="F8" s="22">
        <v>0.2</v>
      </c>
      <c r="G8" s="23">
        <f>IF($F8&lt;&gt;"",IF($F8="Yes",10,0),"")</f>
        <v>0</v>
      </c>
      <c r="H8" s="23">
        <f ca="1">IF($H8&lt;&gt;"",F8*G8,0)</f>
        <v>2</v>
      </c>
    </row>
    <row r="9" spans="4:8" ht="15.6" thickBot="1">
      <c r="D9" s="28" t="s">
        <v>13</v>
      </c>
      <c r="E9" s="29" t="str">
        <f ca="1">IF(H9&gt;8,"High",IF(AND(H9&gt;=6,F2&lt;=4),"Medium","Low"))</f>
        <v>Low</v>
      </c>
      <c r="F9" s="30" t="s">
        <v>32</v>
      </c>
      <c r="G9" s="23"/>
      <c r="H9" s="27">
        <f ca="1">H8+H7+H6+H5</f>
        <v>6</v>
      </c>
    </row>
  </sheetData>
  <conditionalFormatting sqref="E9">
    <cfRule type="containsText" dxfId="5" priority="1" operator="containsText" text="Low">
      <formula>NOT(ISERROR(SEARCH("Low",E9)))</formula>
    </cfRule>
    <cfRule type="containsText" dxfId="4" priority="2" operator="containsText" text="Medium">
      <formula>NOT(ISERROR(SEARCH("Medium",E9)))</formula>
    </cfRule>
    <cfRule type="containsText" dxfId="3" priority="3" operator="containsText" text="High">
      <formula>NOT(ISERROR(SEARCH("High",E9)))</formula>
    </cfRule>
    <cfRule type="expression" dxfId="2" priority="4">
      <formula>"Low"</formula>
    </cfRule>
    <cfRule type="expression" dxfId="1" priority="5">
      <formula>"Medium"</formula>
    </cfRule>
    <cfRule type="containsText" dxfId="0" priority="6" operator="containsText" text="High">
      <formula>NOT(ISERROR(SEARCH("High",E9)))</formula>
    </cfRule>
  </conditionalFormatting>
  <dataValidations count="1">
    <dataValidation type="list" allowBlank="1" showInputMessage="1" showErrorMessage="1" sqref="E5:E8" xr:uid="{961B96E9-20D6-4CD9-84EA-74F9C587D87A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4495-F9C9-4774-AFA3-BFA12EE67CF1}">
  <dimension ref="A1:J20"/>
  <sheetViews>
    <sheetView workbookViewId="0">
      <selection activeCell="A16" sqref="A16:E16"/>
    </sheetView>
  </sheetViews>
  <sheetFormatPr defaultRowHeight="14.45"/>
  <cols>
    <col min="1" max="1" width="47" customWidth="1"/>
    <col min="2" max="2" width="12.140625" customWidth="1"/>
    <col min="8" max="8" width="33.42578125" customWidth="1"/>
    <col min="9" max="9" width="15.5703125" bestFit="1" customWidth="1"/>
  </cols>
  <sheetData>
    <row r="1" spans="1:10" ht="15" thickBot="1"/>
    <row r="2" spans="1:10">
      <c r="A2" s="12" t="s">
        <v>2</v>
      </c>
      <c r="B2" s="2" t="s">
        <v>3</v>
      </c>
      <c r="C2" s="2" t="s">
        <v>4</v>
      </c>
      <c r="D2" s="2" t="s">
        <v>5</v>
      </c>
      <c r="E2" s="3" t="s">
        <v>6</v>
      </c>
    </row>
    <row r="3" spans="1:10">
      <c r="A3" s="13" t="s">
        <v>82</v>
      </c>
      <c r="B3" s="14" t="s">
        <v>83</v>
      </c>
      <c r="C3" s="15">
        <v>0.2</v>
      </c>
      <c r="D3" s="6">
        <f>IF($C3&lt;&gt;"",IF($C3="&gt;150",10,IF($C3="10-150",6,IF($C3="&lt;10",3,0))),"")</f>
        <v>0</v>
      </c>
      <c r="E3" s="7">
        <f t="shared" ref="E3:E9" ca="1" si="0">IF($E3&lt;&gt;"",C3*D3,0)</f>
        <v>1.2000000000000002</v>
      </c>
    </row>
    <row r="4" spans="1:10">
      <c r="A4" s="13" t="s">
        <v>84</v>
      </c>
      <c r="B4" s="8" t="s">
        <v>15</v>
      </c>
      <c r="C4" s="15">
        <v>0.2</v>
      </c>
      <c r="D4" s="6">
        <f>IF($C4&lt;&gt;"",IF($C4="Critical",10,IF($C4="Medium",6,3)),"")</f>
        <v>3</v>
      </c>
      <c r="E4" s="7">
        <f t="shared" ca="1" si="0"/>
        <v>2</v>
      </c>
    </row>
    <row r="5" spans="1:10">
      <c r="A5" s="13" t="s">
        <v>85</v>
      </c>
      <c r="B5" s="8" t="s">
        <v>86</v>
      </c>
      <c r="C5" s="15">
        <v>0.1</v>
      </c>
      <c r="D5" s="6">
        <f>IF($C5&lt;&gt;"",IF($C5="Complete",10,IF($C5="Partial",6,0)),"")</f>
        <v>0</v>
      </c>
      <c r="E5" s="7">
        <f t="shared" ca="1" si="0"/>
        <v>1</v>
      </c>
    </row>
    <row r="6" spans="1:10">
      <c r="A6" s="13" t="s">
        <v>87</v>
      </c>
      <c r="B6" s="8" t="s">
        <v>63</v>
      </c>
      <c r="C6" s="15">
        <v>0.1</v>
      </c>
      <c r="D6" s="6">
        <f>IF($C6&lt;&gt;"",IF($C6="Global",10,IF($C6="Multiple",6,3)),"")</f>
        <v>3</v>
      </c>
      <c r="E6" s="7">
        <f t="shared" ca="1" si="0"/>
        <v>1</v>
      </c>
    </row>
    <row r="7" spans="1:10">
      <c r="A7" s="13" t="s">
        <v>88</v>
      </c>
      <c r="B7" s="8" t="s">
        <v>65</v>
      </c>
      <c r="C7" s="15">
        <v>0.2</v>
      </c>
      <c r="D7" s="6">
        <f>IF($C7&lt;&gt;"",IF($C7="Revenue",10,IF($C7="Service Level Commitment",6,IF($C7="Delivery Schedule",3,0))),"")</f>
        <v>0</v>
      </c>
      <c r="E7" s="7">
        <f t="shared" ca="1" si="0"/>
        <v>2</v>
      </c>
    </row>
    <row r="8" spans="1:10">
      <c r="A8" s="13" t="s">
        <v>89</v>
      </c>
      <c r="B8" s="8" t="s">
        <v>70</v>
      </c>
      <c r="C8" s="15">
        <v>0.1</v>
      </c>
      <c r="D8" s="6">
        <f>IF($C8&lt;&gt;"",IF($C8="Ongoing",10,IF($C8="Imminent",6,0)),"")</f>
        <v>0</v>
      </c>
      <c r="E8" s="7">
        <f t="shared" ca="1" si="0"/>
        <v>0.60000000000000009</v>
      </c>
    </row>
    <row r="9" spans="1:10">
      <c r="A9" s="13" t="s">
        <v>90</v>
      </c>
      <c r="B9" s="8" t="s">
        <v>91</v>
      </c>
      <c r="C9" s="15">
        <v>0.1</v>
      </c>
      <c r="D9" s="6">
        <f>IF($C9&lt;&gt;"",IF($C9="&gt;100000",10,IF($C9="&lt;100000",6,0)),"")</f>
        <v>0</v>
      </c>
      <c r="E9" s="7">
        <f t="shared" ca="1" si="0"/>
        <v>0.60000000000000009</v>
      </c>
    </row>
    <row r="10" spans="1:10" ht="15" thickBot="1">
      <c r="A10" s="16"/>
      <c r="B10" s="10" t="s">
        <v>92</v>
      </c>
      <c r="C10" s="148" t="s">
        <v>32</v>
      </c>
      <c r="D10" s="148"/>
      <c r="E10" s="11">
        <f ca="1">SUM(E3:E9)</f>
        <v>8.4</v>
      </c>
    </row>
    <row r="11" spans="1:10">
      <c r="C11" s="20"/>
      <c r="D11" s="20"/>
    </row>
    <row r="12" spans="1:10" ht="15" thickBot="1"/>
    <row r="13" spans="1:10">
      <c r="A13" s="1" t="s">
        <v>2</v>
      </c>
      <c r="B13" s="2" t="s">
        <v>3</v>
      </c>
      <c r="C13" s="2" t="s">
        <v>4</v>
      </c>
      <c r="D13" s="2" t="s">
        <v>5</v>
      </c>
      <c r="E13" s="3" t="s">
        <v>6</v>
      </c>
    </row>
    <row r="14" spans="1:10" ht="29.45" thickBot="1">
      <c r="A14" s="4" t="s">
        <v>93</v>
      </c>
      <c r="B14" s="8" t="s">
        <v>35</v>
      </c>
      <c r="C14" s="5">
        <v>0.6</v>
      </c>
      <c r="D14" s="6">
        <f>IF($C14&lt;&gt;"",IF($C14="Yes",10,0),"")</f>
        <v>0</v>
      </c>
      <c r="E14" s="7">
        <f ca="1">IF($E14&lt;&gt;"",C14*D14,0)</f>
        <v>0</v>
      </c>
    </row>
    <row r="15" spans="1:10" ht="15.6" thickBot="1">
      <c r="A15" s="4" t="s">
        <v>94</v>
      </c>
      <c r="B15" s="8" t="s">
        <v>38</v>
      </c>
      <c r="C15" s="5">
        <v>0.2</v>
      </c>
      <c r="D15" s="6">
        <f>IF($C15&lt;&gt;"",IF($C15="Yes",10,0),"")</f>
        <v>0</v>
      </c>
      <c r="E15" s="7">
        <f ca="1">IF($E15&lt;&gt;"",C15*D15,0)</f>
        <v>0</v>
      </c>
      <c r="J15" s="18" t="s">
        <v>4</v>
      </c>
    </row>
    <row r="16" spans="1:10">
      <c r="A16" s="4" t="s">
        <v>39</v>
      </c>
      <c r="B16" s="8" t="s">
        <v>35</v>
      </c>
      <c r="C16" s="5">
        <v>0.2</v>
      </c>
      <c r="D16" s="6">
        <f>IF($C16&lt;&gt;"",IF($C16="Yes",10,0),"")</f>
        <v>0</v>
      </c>
      <c r="E16" s="7">
        <f ca="1">IF($E16&lt;&gt;"",C16*D16,0)</f>
        <v>2</v>
      </c>
      <c r="J16" s="19">
        <v>0.3</v>
      </c>
    </row>
    <row r="17" spans="1:10" ht="15" thickBot="1">
      <c r="A17" s="9"/>
      <c r="B17" s="10"/>
      <c r="C17" s="148" t="s">
        <v>32</v>
      </c>
      <c r="D17" s="148"/>
      <c r="E17" s="11">
        <f ca="1">SUM(E14:E16)</f>
        <v>2</v>
      </c>
      <c r="J17" s="19">
        <v>0.3</v>
      </c>
    </row>
    <row r="18" spans="1:10">
      <c r="J18" s="21">
        <v>0.2</v>
      </c>
    </row>
    <row r="19" spans="1:10">
      <c r="A19" t="s">
        <v>95</v>
      </c>
    </row>
    <row r="20" spans="1:10">
      <c r="A20" t="s">
        <v>96</v>
      </c>
    </row>
  </sheetData>
  <mergeCells count="2">
    <mergeCell ref="C10:D10"/>
    <mergeCell ref="C17:D17"/>
  </mergeCells>
  <dataValidations count="8">
    <dataValidation type="list" allowBlank="1" showInputMessage="1" showErrorMessage="1" sqref="B3" xr:uid="{D3D85168-5440-48A8-9CA0-F2C1C0608CA3}">
      <formula1>"&gt;150, 10-150, &lt;10, Potential - 0"</formula1>
    </dataValidation>
    <dataValidation type="list" allowBlank="1" showInputMessage="1" showErrorMessage="1" sqref="B4" xr:uid="{4A87BBCD-6FB5-4F57-9AFE-30444B133AE5}">
      <formula1>"Critical, Medium, Low"</formula1>
    </dataValidation>
    <dataValidation type="list" allowBlank="1" showInputMessage="1" showErrorMessage="1" sqref="B5" xr:uid="{D1DCD5DD-7D42-4C2D-B3C9-C0E06EB8B2DE}">
      <formula1>"Complete, Partial, Potential"</formula1>
    </dataValidation>
    <dataValidation type="list" allowBlank="1" showInputMessage="1" showErrorMessage="1" sqref="B6" xr:uid="{D3AB3EFB-861E-4668-984F-91E601E11E9C}">
      <formula1>"Single, Multiple, Global"</formula1>
    </dataValidation>
    <dataValidation type="list" allowBlank="1" showInputMessage="1" showErrorMessage="1" sqref="B7" xr:uid="{3A547ED2-4E1E-4401-9601-C3338FC0ADAD}">
      <formula1>"Revenue, Service Level Commitment, Delivery Schedule, Potential"</formula1>
    </dataValidation>
    <dataValidation type="list" allowBlank="1" showInputMessage="1" showErrorMessage="1" sqref="B8" xr:uid="{2EFB1C24-3864-4C89-846E-0A8A5BB232F7}">
      <formula1>"Ongoing, Imminent, Potential"</formula1>
    </dataValidation>
    <dataValidation type="list" allowBlank="1" showInputMessage="1" showErrorMessage="1" sqref="B9" xr:uid="{65949318-E98F-4B47-8112-3E9556716811}">
      <formula1>"No Impact, &gt;100000, &lt;100000"</formula1>
    </dataValidation>
    <dataValidation type="list" allowBlank="1" showInputMessage="1" showErrorMessage="1" sqref="B14:B16" xr:uid="{36AE2012-6509-4B45-8E2D-9E6B1F315847}">
      <formula1>"Yes, No"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Tilak Shetty</dc:creator>
  <cp:keywords/>
  <dc:description/>
  <cp:lastModifiedBy>Tilak Shetty</cp:lastModifiedBy>
  <cp:revision/>
  <dcterms:created xsi:type="dcterms:W3CDTF">2024-08-26T14:28:20Z</dcterms:created>
  <dcterms:modified xsi:type="dcterms:W3CDTF">2026-10-28T19:39:30Z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d96aa77-7762-4c34-b9f0-7d6a55545bbc_Enabled">
    <vt:lpwstr>true</vt:lpwstr>
  </property>
  <property fmtid="{D5CDD505-2E9C-101B-9397-08002B2CF9AE}" pid="3" name="MSIP_Label_ed96aa77-7762-4c34-b9f0-7d6a55545bbc_SetDate">
    <vt:lpwstr>2024-10-01T13:07:28Z</vt:lpwstr>
  </property>
  <property fmtid="{D5CDD505-2E9C-101B-9397-08002B2CF9AE}" pid="4" name="MSIP_Label_ed96aa77-7762-4c34-b9f0-7d6a55545bbc_Method">
    <vt:lpwstr>Privileged</vt:lpwstr>
  </property>
  <property fmtid="{D5CDD505-2E9C-101B-9397-08002B2CF9AE}" pid="5" name="MSIP_Label_ed96aa77-7762-4c34-b9f0-7d6a55545bbc_Name">
    <vt:lpwstr>Proprietary</vt:lpwstr>
  </property>
  <property fmtid="{D5CDD505-2E9C-101B-9397-08002B2CF9AE}" pid="6" name="MSIP_Label_ed96aa77-7762-4c34-b9f0-7d6a55545bbc_SiteId">
    <vt:lpwstr>b7dcea4e-d150-4ba1-8b2a-c8b27a75525c</vt:lpwstr>
  </property>
  <property fmtid="{D5CDD505-2E9C-101B-9397-08002B2CF9AE}" pid="7" name="MSIP_Label_ed96aa77-7762-4c34-b9f0-7d6a55545bbc_ActionId">
    <vt:lpwstr>c6d979a8-3f76-44c4-b155-4ed7a86cc146</vt:lpwstr>
  </property>
  <property fmtid="{D5CDD505-2E9C-101B-9397-08002B2CF9AE}" pid="8" name="MSIP_Label_ed96aa77-7762-4c34-b9f0-7d6a55545bbc_ContentBits">
    <vt:lpwstr>0</vt:lpwstr>
  </property>
</Properties>
</file>